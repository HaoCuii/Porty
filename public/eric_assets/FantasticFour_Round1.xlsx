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62A796EA-382F-4618-8419-77E82C3C9B01}" xr6:coauthVersionLast="47" xr6:coauthVersionMax="47" xr10:uidLastSave="{00000000-0000-0000-0000-000000000000}"/>
  <bookViews>
    <workbookView xWindow="28680" yWindow="-120" windowWidth="29040" windowHeight="15720" firstSheet="1" activeTab="4" xr2:uid="{21B9028F-0FEA-4D58-8E1D-5A4AEFC1B8D9}"/>
  </bookViews>
  <sheets>
    <sheet name="Cover" sheetId="1" r:id="rId1"/>
    <sheet name="Instructions" sheetId="2" r:id="rId2"/>
    <sheet name="Financial Statements" sheetId="4" r:id="rId3"/>
    <sheet name="Supporting Schedules" sheetId="10" r:id="rId4"/>
    <sheet name="Revenue Build Schedule" sheetId="12" r:id="rId5"/>
    <sheet name="DCF Valuation" sheetId="5" r:id="rId6"/>
    <sheet name="Comparables" sheetId="13" r:id="rId7"/>
    <sheet name="Precedents" sheetId="11" r:id="rId8"/>
  </sheets>
  <definedNames>
    <definedName name="__FDS_HYPERLINK_TOGGLE_STATE__" hidden="1">"ON"</definedName>
    <definedName name="__FDS_UNIQUE_RANGE_ID_GENERATOR_COUNTER" hidden="1">92</definedName>
    <definedName name="__FDS_USED_FOR_REUSING_RANGE_IDS_RECYCLE" hidden="1">{91}</definedName>
    <definedName name="_20__FDSAUDITLINK__" hidden="1">{"fdsup://Directions/FactSet Auditing Viewer?action=AUDIT_VALUE&amp;DB=129&amp;ID1=20536310&amp;VALUEID=07011&amp;SDATE=2008&amp;PERIODTYPE=ANN_STD&amp;window=popup_no_bar&amp;width=385&amp;height=120&amp;START_MAXIMIZED=FALSE&amp;creator=factset&amp;display_string=Audit"}</definedName>
    <definedName name="_45__FDSAUDITLINK__" hidden="1">{"fdsup://directions/FAT Viewer?action=UPDATE&amp;creator=factset&amp;DYN_ARGS=TRUE&amp;DOC_NAME=FAT:FQL_AUDITING_CLIENT_TEMPLATE.FAT&amp;display_string=Audit&amp;VAR:KEY=GLKJCXKPER&amp;VAR:QUERY=RkZfTElBQlMoQU5OLDBZKQ==&amp;WINDOW=FIRST_POPUP&amp;HEIGHT=450&amp;WIDTH=450&amp;START_MAXIMIZED=FALS","E&amp;VAR:CALENDAR=US&amp;VAR:SYMBOL=622657&amp;VAR:INDEX=0"}</definedName>
    <definedName name="_bdm.3C0A5DFB33C143A7B0202F03660F87C5.edm" hidden="1">#REF!</definedName>
    <definedName name="_bdm.41B7446C4C634C0CB571A940C585DD1B.edm" hidden="1">#REF!</definedName>
    <definedName name="beta">'DCF Valuation'!$C$20</definedName>
    <definedName name="CIQWBGuid" hidden="1">"f9dbbd30-fd4d-42fd-a65f-3b68379b6b21"</definedName>
    <definedName name="CIQWBInfo" hidden="1">"{ ""CIQVersion"":""9.51.3510.3078"" }"</definedName>
    <definedName name="company">Cover!$C$2</definedName>
    <definedName name="costofdebt">'DCF Valuation'!$C$22</definedName>
    <definedName name="currentprice">Cover!$C$4</definedName>
    <definedName name="dilutedshares" localSheetId="6">Comparables!$C$7</definedName>
    <definedName name="dilutedshares">#REF!</definedName>
    <definedName name="equityvalue" localSheetId="6">Comparables!$C$8</definedName>
    <definedName name="equityvalue">#REF!</definedName>
    <definedName name="ev" localSheetId="6">Comparables!$C$12</definedName>
    <definedName name="ev">#REF!</definedName>
    <definedName name="IQ_ADDIN" hidden="1">"AUTO"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"02/16/2025 04:18:50"</definedName>
    <definedName name="IQ_OPENED55" hidden="1">1</definedName>
    <definedName name="IQ_QTD" hidden="1">750000</definedName>
    <definedName name="IQ_TODAY" hidden="1">0</definedName>
    <definedName name="IQ_YTDMONTH" hidden="1">130000</definedName>
    <definedName name="mrp">'DCF Valuation'!$C$19</definedName>
    <definedName name="netdebt" localSheetId="6">Comparables!$C$10</definedName>
    <definedName name="netdebt">#REF!</definedName>
    <definedName name="rd">'DCF Valuation'!$C$24</definedName>
    <definedName name="re">'DCF Valuation'!$C$21</definedName>
    <definedName name="rf">'DCF Valuation'!$C$18</definedName>
    <definedName name="rm">'DCF Valuation'!$C$17</definedName>
    <definedName name="SpreadsheetBuilder_1" hidden="1">#REF!</definedName>
    <definedName name="taxrate">'DCF Valuation'!$C$23</definedName>
    <definedName name="tgr">'DCF Valuation'!$D$48</definedName>
    <definedName name="wacc">'DCF Valuation'!$C$25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4" l="1"/>
  <c r="N57" i="4"/>
  <c r="O57" i="4" s="1"/>
  <c r="P57" i="4" s="1"/>
  <c r="Q57" i="4" s="1"/>
  <c r="L57" i="4"/>
  <c r="F270" i="12"/>
  <c r="G270" i="12" s="1"/>
  <c r="E270" i="12"/>
  <c r="D270" i="12"/>
  <c r="C270" i="12"/>
  <c r="H267" i="12"/>
  <c r="I267" i="12" s="1"/>
  <c r="J267" i="12" s="1"/>
  <c r="K267" i="12" s="1"/>
  <c r="L267" i="12" s="1"/>
  <c r="M267" i="12" s="1"/>
  <c r="N267" i="12" s="1"/>
  <c r="O267" i="12" s="1"/>
  <c r="P267" i="12" s="1"/>
  <c r="F267" i="12"/>
  <c r="E267" i="12"/>
  <c r="D267" i="12"/>
  <c r="C267" i="12"/>
  <c r="G266" i="12"/>
  <c r="F264" i="12"/>
  <c r="G264" i="12" s="1"/>
  <c r="E264" i="12"/>
  <c r="D264" i="12"/>
  <c r="C264" i="12"/>
  <c r="F256" i="12"/>
  <c r="E256" i="12"/>
  <c r="D256" i="12"/>
  <c r="C256" i="12"/>
  <c r="B256" i="12"/>
  <c r="H255" i="12"/>
  <c r="I255" i="12" s="1"/>
  <c r="J255" i="12" s="1"/>
  <c r="K255" i="12" s="1"/>
  <c r="L255" i="12" s="1"/>
  <c r="M255" i="12" s="1"/>
  <c r="N255" i="12" s="1"/>
  <c r="O255" i="12" s="1"/>
  <c r="P255" i="12" s="1"/>
  <c r="G254" i="12"/>
  <c r="H254" i="12" s="1"/>
  <c r="I254" i="12" s="1"/>
  <c r="J254" i="12" s="1"/>
  <c r="K254" i="12" s="1"/>
  <c r="L254" i="12" s="1"/>
  <c r="M254" i="12" s="1"/>
  <c r="N254" i="12" s="1"/>
  <c r="O254" i="12" s="1"/>
  <c r="P254" i="12" s="1"/>
  <c r="G253" i="12"/>
  <c r="H253" i="12" s="1"/>
  <c r="I253" i="12" s="1"/>
  <c r="J253" i="12" s="1"/>
  <c r="K253" i="12" s="1"/>
  <c r="L253" i="12" s="1"/>
  <c r="M253" i="12" s="1"/>
  <c r="N253" i="12" s="1"/>
  <c r="O253" i="12" s="1"/>
  <c r="P253" i="12" s="1"/>
  <c r="G252" i="12"/>
  <c r="H252" i="12" s="1"/>
  <c r="I252" i="12" s="1"/>
  <c r="J252" i="12" s="1"/>
  <c r="K252" i="12" s="1"/>
  <c r="L252" i="12" s="1"/>
  <c r="M252" i="12" s="1"/>
  <c r="N252" i="12" s="1"/>
  <c r="O252" i="12" s="1"/>
  <c r="P252" i="12" s="1"/>
  <c r="G251" i="12"/>
  <c r="H251" i="12" s="1"/>
  <c r="I251" i="12" s="1"/>
  <c r="J251" i="12" s="1"/>
  <c r="K251" i="12" s="1"/>
  <c r="L251" i="12" s="1"/>
  <c r="M251" i="12" s="1"/>
  <c r="N251" i="12" s="1"/>
  <c r="O251" i="12" s="1"/>
  <c r="P251" i="12" s="1"/>
  <c r="G250" i="12"/>
  <c r="H250" i="12" s="1"/>
  <c r="I250" i="12" s="1"/>
  <c r="J250" i="12" s="1"/>
  <c r="K250" i="12" s="1"/>
  <c r="L250" i="12" s="1"/>
  <c r="M250" i="12" s="1"/>
  <c r="N250" i="12" s="1"/>
  <c r="O250" i="12" s="1"/>
  <c r="P250" i="12" s="1"/>
  <c r="G249" i="12"/>
  <c r="H249" i="12" s="1"/>
  <c r="I249" i="12" s="1"/>
  <c r="J249" i="12" s="1"/>
  <c r="K249" i="12" s="1"/>
  <c r="L249" i="12" s="1"/>
  <c r="M249" i="12" s="1"/>
  <c r="N249" i="12" s="1"/>
  <c r="O249" i="12" s="1"/>
  <c r="P249" i="12" s="1"/>
  <c r="G248" i="12"/>
  <c r="H248" i="12" s="1"/>
  <c r="I248" i="12" s="1"/>
  <c r="J248" i="12" s="1"/>
  <c r="K248" i="12" s="1"/>
  <c r="L248" i="12" s="1"/>
  <c r="M248" i="12" s="1"/>
  <c r="N248" i="12" s="1"/>
  <c r="O248" i="12" s="1"/>
  <c r="P248" i="12" s="1"/>
  <c r="G247" i="12"/>
  <c r="H247" i="12" s="1"/>
  <c r="I247" i="12" s="1"/>
  <c r="J247" i="12" s="1"/>
  <c r="K247" i="12" s="1"/>
  <c r="L247" i="12" s="1"/>
  <c r="M247" i="12" s="1"/>
  <c r="N247" i="12" s="1"/>
  <c r="O247" i="12" s="1"/>
  <c r="P247" i="12" s="1"/>
  <c r="G246" i="12"/>
  <c r="F243" i="12"/>
  <c r="E243" i="12"/>
  <c r="D243" i="12"/>
  <c r="C243" i="12"/>
  <c r="B243" i="12"/>
  <c r="H242" i="12"/>
  <c r="I242" i="12" s="1"/>
  <c r="J242" i="12" s="1"/>
  <c r="K242" i="12" s="1"/>
  <c r="L242" i="12" s="1"/>
  <c r="M242" i="12" s="1"/>
  <c r="N242" i="12" s="1"/>
  <c r="O242" i="12" s="1"/>
  <c r="P242" i="12" s="1"/>
  <c r="G241" i="12"/>
  <c r="H241" i="12" s="1"/>
  <c r="I241" i="12" s="1"/>
  <c r="J241" i="12" s="1"/>
  <c r="K241" i="12" s="1"/>
  <c r="L241" i="12" s="1"/>
  <c r="M241" i="12" s="1"/>
  <c r="N241" i="12" s="1"/>
  <c r="O241" i="12" s="1"/>
  <c r="P241" i="12" s="1"/>
  <c r="G240" i="12"/>
  <c r="H240" i="12" s="1"/>
  <c r="I240" i="12" s="1"/>
  <c r="J240" i="12" s="1"/>
  <c r="K240" i="12" s="1"/>
  <c r="L240" i="12" s="1"/>
  <c r="M240" i="12" s="1"/>
  <c r="N240" i="12" s="1"/>
  <c r="O240" i="12" s="1"/>
  <c r="P240" i="12" s="1"/>
  <c r="G239" i="12"/>
  <c r="H239" i="12" s="1"/>
  <c r="I239" i="12" s="1"/>
  <c r="J239" i="12" s="1"/>
  <c r="K239" i="12" s="1"/>
  <c r="L239" i="12" s="1"/>
  <c r="M239" i="12" s="1"/>
  <c r="N239" i="12" s="1"/>
  <c r="O239" i="12" s="1"/>
  <c r="P239" i="12" s="1"/>
  <c r="G238" i="12"/>
  <c r="H238" i="12" s="1"/>
  <c r="I238" i="12" s="1"/>
  <c r="J238" i="12" s="1"/>
  <c r="K238" i="12" s="1"/>
  <c r="L238" i="12" s="1"/>
  <c r="M238" i="12" s="1"/>
  <c r="N238" i="12" s="1"/>
  <c r="O238" i="12" s="1"/>
  <c r="P238" i="12" s="1"/>
  <c r="G237" i="12"/>
  <c r="H237" i="12" s="1"/>
  <c r="I237" i="12" s="1"/>
  <c r="J237" i="12" s="1"/>
  <c r="K237" i="12" s="1"/>
  <c r="L237" i="12" s="1"/>
  <c r="M237" i="12" s="1"/>
  <c r="N237" i="12" s="1"/>
  <c r="O237" i="12" s="1"/>
  <c r="P237" i="12" s="1"/>
  <c r="G236" i="12"/>
  <c r="H236" i="12" s="1"/>
  <c r="I236" i="12" s="1"/>
  <c r="J236" i="12" s="1"/>
  <c r="K236" i="12" s="1"/>
  <c r="L236" i="12" s="1"/>
  <c r="M236" i="12" s="1"/>
  <c r="N236" i="12" s="1"/>
  <c r="O236" i="12" s="1"/>
  <c r="P236" i="12" s="1"/>
  <c r="G235" i="12"/>
  <c r="H235" i="12" s="1"/>
  <c r="I235" i="12" s="1"/>
  <c r="J235" i="12" s="1"/>
  <c r="K235" i="12" s="1"/>
  <c r="L235" i="12" s="1"/>
  <c r="M235" i="12" s="1"/>
  <c r="N235" i="12" s="1"/>
  <c r="O235" i="12" s="1"/>
  <c r="P235" i="12" s="1"/>
  <c r="G234" i="12"/>
  <c r="H234" i="12" s="1"/>
  <c r="I234" i="12" s="1"/>
  <c r="J234" i="12" s="1"/>
  <c r="K234" i="12" s="1"/>
  <c r="L234" i="12" s="1"/>
  <c r="M234" i="12" s="1"/>
  <c r="N234" i="12" s="1"/>
  <c r="O234" i="12" s="1"/>
  <c r="P234" i="12" s="1"/>
  <c r="G233" i="12"/>
  <c r="H233" i="12" s="1"/>
  <c r="I233" i="12" s="1"/>
  <c r="J233" i="12" s="1"/>
  <c r="K233" i="12" s="1"/>
  <c r="L233" i="12" s="1"/>
  <c r="M233" i="12" s="1"/>
  <c r="N233" i="12" s="1"/>
  <c r="O233" i="12" s="1"/>
  <c r="P233" i="12" s="1"/>
  <c r="G232" i="12"/>
  <c r="H232" i="12" s="1"/>
  <c r="I232" i="12" s="1"/>
  <c r="J232" i="12" s="1"/>
  <c r="F230" i="12"/>
  <c r="G230" i="12" s="1"/>
  <c r="E230" i="12"/>
  <c r="D230" i="12"/>
  <c r="C230" i="12"/>
  <c r="F226" i="12"/>
  <c r="E226" i="12"/>
  <c r="E206" i="12" s="1"/>
  <c r="D226" i="12"/>
  <c r="C226" i="12"/>
  <c r="B226" i="12"/>
  <c r="F211" i="12"/>
  <c r="E211" i="12"/>
  <c r="D211" i="12"/>
  <c r="C211" i="12"/>
  <c r="B211" i="12"/>
  <c r="H210" i="12"/>
  <c r="I210" i="12" s="1"/>
  <c r="J210" i="12" s="1"/>
  <c r="K210" i="12" s="1"/>
  <c r="L210" i="12" s="1"/>
  <c r="M210" i="12" s="1"/>
  <c r="N210" i="12" s="1"/>
  <c r="O210" i="12" s="1"/>
  <c r="P210" i="12" s="1"/>
  <c r="F202" i="12"/>
  <c r="E202" i="12"/>
  <c r="E272" i="12" s="1"/>
  <c r="D202" i="12"/>
  <c r="D272" i="12" s="1"/>
  <c r="C202" i="12"/>
  <c r="C272" i="12" s="1"/>
  <c r="B202" i="12"/>
  <c r="B272" i="12" s="1"/>
  <c r="F200" i="12"/>
  <c r="E200" i="12"/>
  <c r="D200" i="12"/>
  <c r="F197" i="12"/>
  <c r="E197" i="12"/>
  <c r="D197" i="12"/>
  <c r="C197" i="12"/>
  <c r="E195" i="12"/>
  <c r="F194" i="12"/>
  <c r="D191" i="12"/>
  <c r="C191" i="12"/>
  <c r="B191" i="12"/>
  <c r="G188" i="12"/>
  <c r="H188" i="12" s="1"/>
  <c r="I188" i="12" s="1"/>
  <c r="J188" i="12" s="1"/>
  <c r="K188" i="12" s="1"/>
  <c r="L188" i="12" s="1"/>
  <c r="M188" i="12" s="1"/>
  <c r="N188" i="12" s="1"/>
  <c r="O188" i="12" s="1"/>
  <c r="P188" i="12" s="1"/>
  <c r="B188" i="12"/>
  <c r="C187" i="12"/>
  <c r="D187" i="12" s="1"/>
  <c r="E187" i="12" s="1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F179" i="12"/>
  <c r="G179" i="12" s="1"/>
  <c r="G178" i="12" s="1"/>
  <c r="E179" i="12"/>
  <c r="D179" i="12"/>
  <c r="C179" i="12"/>
  <c r="H176" i="12"/>
  <c r="I176" i="12" s="1"/>
  <c r="J176" i="12" s="1"/>
  <c r="K176" i="12" s="1"/>
  <c r="L176" i="12" s="1"/>
  <c r="M176" i="12" s="1"/>
  <c r="N176" i="12" s="1"/>
  <c r="O176" i="12" s="1"/>
  <c r="P176" i="12" s="1"/>
  <c r="F176" i="12"/>
  <c r="E176" i="12"/>
  <c r="D176" i="12"/>
  <c r="C176" i="12"/>
  <c r="G175" i="12"/>
  <c r="F173" i="12"/>
  <c r="G173" i="12" s="1"/>
  <c r="H173" i="12" s="1"/>
  <c r="I173" i="12" s="1"/>
  <c r="J173" i="12" s="1"/>
  <c r="K173" i="12" s="1"/>
  <c r="L173" i="12" s="1"/>
  <c r="M173" i="12" s="1"/>
  <c r="N173" i="12" s="1"/>
  <c r="O173" i="12" s="1"/>
  <c r="P173" i="12" s="1"/>
  <c r="E173" i="12"/>
  <c r="D173" i="12"/>
  <c r="C173" i="12"/>
  <c r="F165" i="12"/>
  <c r="E165" i="12"/>
  <c r="D165" i="12"/>
  <c r="C165" i="12"/>
  <c r="B165" i="12"/>
  <c r="H164" i="12"/>
  <c r="I164" i="12" s="1"/>
  <c r="J164" i="12" s="1"/>
  <c r="K164" i="12" s="1"/>
  <c r="L164" i="12" s="1"/>
  <c r="M164" i="12" s="1"/>
  <c r="N164" i="12" s="1"/>
  <c r="O164" i="12" s="1"/>
  <c r="P164" i="12" s="1"/>
  <c r="G163" i="12"/>
  <c r="H163" i="12" s="1"/>
  <c r="I163" i="12" s="1"/>
  <c r="J163" i="12" s="1"/>
  <c r="K163" i="12" s="1"/>
  <c r="L163" i="12" s="1"/>
  <c r="M163" i="12" s="1"/>
  <c r="N163" i="12" s="1"/>
  <c r="O163" i="12" s="1"/>
  <c r="P163" i="12" s="1"/>
  <c r="G162" i="12"/>
  <c r="H162" i="12" s="1"/>
  <c r="I162" i="12" s="1"/>
  <c r="J162" i="12" s="1"/>
  <c r="K162" i="12" s="1"/>
  <c r="L162" i="12" s="1"/>
  <c r="M162" i="12" s="1"/>
  <c r="N162" i="12" s="1"/>
  <c r="O162" i="12" s="1"/>
  <c r="P162" i="12" s="1"/>
  <c r="G161" i="12"/>
  <c r="H161" i="12" s="1"/>
  <c r="I161" i="12" s="1"/>
  <c r="J161" i="12" s="1"/>
  <c r="K161" i="12" s="1"/>
  <c r="L161" i="12" s="1"/>
  <c r="M161" i="12" s="1"/>
  <c r="N161" i="12" s="1"/>
  <c r="O161" i="12" s="1"/>
  <c r="P161" i="12" s="1"/>
  <c r="G160" i="12"/>
  <c r="H160" i="12" s="1"/>
  <c r="I160" i="12" s="1"/>
  <c r="J160" i="12" s="1"/>
  <c r="K160" i="12" s="1"/>
  <c r="L160" i="12" s="1"/>
  <c r="M160" i="12" s="1"/>
  <c r="N160" i="12" s="1"/>
  <c r="O160" i="12" s="1"/>
  <c r="P160" i="12" s="1"/>
  <c r="G159" i="12"/>
  <c r="H159" i="12" s="1"/>
  <c r="I159" i="12" s="1"/>
  <c r="J159" i="12" s="1"/>
  <c r="K159" i="12" s="1"/>
  <c r="L159" i="12" s="1"/>
  <c r="M159" i="12" s="1"/>
  <c r="N159" i="12" s="1"/>
  <c r="O159" i="12" s="1"/>
  <c r="P159" i="12" s="1"/>
  <c r="G158" i="12"/>
  <c r="H158" i="12" s="1"/>
  <c r="I158" i="12" s="1"/>
  <c r="J158" i="12" s="1"/>
  <c r="K158" i="12" s="1"/>
  <c r="L158" i="12" s="1"/>
  <c r="M158" i="12" s="1"/>
  <c r="N158" i="12" s="1"/>
  <c r="O158" i="12" s="1"/>
  <c r="P158" i="12" s="1"/>
  <c r="G157" i="12"/>
  <c r="H157" i="12" s="1"/>
  <c r="I157" i="12" s="1"/>
  <c r="J157" i="12" s="1"/>
  <c r="K157" i="12" s="1"/>
  <c r="L157" i="12" s="1"/>
  <c r="M157" i="12" s="1"/>
  <c r="N157" i="12" s="1"/>
  <c r="O157" i="12" s="1"/>
  <c r="P157" i="12" s="1"/>
  <c r="G156" i="12"/>
  <c r="H156" i="12" s="1"/>
  <c r="I156" i="12" s="1"/>
  <c r="J156" i="12" s="1"/>
  <c r="K156" i="12" s="1"/>
  <c r="L156" i="12" s="1"/>
  <c r="M156" i="12" s="1"/>
  <c r="N156" i="12" s="1"/>
  <c r="O156" i="12" s="1"/>
  <c r="P156" i="12" s="1"/>
  <c r="G155" i="12"/>
  <c r="H155" i="12" s="1"/>
  <c r="F152" i="12"/>
  <c r="E152" i="12"/>
  <c r="D152" i="12"/>
  <c r="C152" i="12"/>
  <c r="B152" i="12"/>
  <c r="H151" i="12"/>
  <c r="I151" i="12" s="1"/>
  <c r="J151" i="12" s="1"/>
  <c r="K151" i="12" s="1"/>
  <c r="L151" i="12" s="1"/>
  <c r="M151" i="12" s="1"/>
  <c r="N151" i="12" s="1"/>
  <c r="O151" i="12" s="1"/>
  <c r="P151" i="12" s="1"/>
  <c r="G150" i="12"/>
  <c r="H150" i="12" s="1"/>
  <c r="I150" i="12" s="1"/>
  <c r="J150" i="12" s="1"/>
  <c r="K150" i="12" s="1"/>
  <c r="L150" i="12" s="1"/>
  <c r="M150" i="12" s="1"/>
  <c r="N150" i="12" s="1"/>
  <c r="O150" i="12" s="1"/>
  <c r="P150" i="12" s="1"/>
  <c r="G149" i="12"/>
  <c r="H149" i="12" s="1"/>
  <c r="I149" i="12" s="1"/>
  <c r="J149" i="12" s="1"/>
  <c r="K149" i="12" s="1"/>
  <c r="L149" i="12" s="1"/>
  <c r="M149" i="12" s="1"/>
  <c r="N149" i="12" s="1"/>
  <c r="O149" i="12" s="1"/>
  <c r="P149" i="12" s="1"/>
  <c r="G148" i="12"/>
  <c r="H148" i="12" s="1"/>
  <c r="I148" i="12" s="1"/>
  <c r="J148" i="12" s="1"/>
  <c r="K148" i="12" s="1"/>
  <c r="L148" i="12" s="1"/>
  <c r="M148" i="12" s="1"/>
  <c r="N148" i="12" s="1"/>
  <c r="O148" i="12" s="1"/>
  <c r="P148" i="12" s="1"/>
  <c r="G147" i="12"/>
  <c r="H147" i="12" s="1"/>
  <c r="I147" i="12" s="1"/>
  <c r="J147" i="12" s="1"/>
  <c r="K147" i="12" s="1"/>
  <c r="L147" i="12" s="1"/>
  <c r="M147" i="12" s="1"/>
  <c r="N147" i="12" s="1"/>
  <c r="O147" i="12" s="1"/>
  <c r="P147" i="12" s="1"/>
  <c r="G146" i="12"/>
  <c r="H146" i="12" s="1"/>
  <c r="I146" i="12" s="1"/>
  <c r="J146" i="12" s="1"/>
  <c r="K146" i="12" s="1"/>
  <c r="L146" i="12" s="1"/>
  <c r="M146" i="12" s="1"/>
  <c r="N146" i="12" s="1"/>
  <c r="O146" i="12" s="1"/>
  <c r="P146" i="12" s="1"/>
  <c r="G145" i="12"/>
  <c r="H145" i="12" s="1"/>
  <c r="I145" i="12" s="1"/>
  <c r="J145" i="12" s="1"/>
  <c r="K145" i="12" s="1"/>
  <c r="L145" i="12" s="1"/>
  <c r="M145" i="12" s="1"/>
  <c r="N145" i="12" s="1"/>
  <c r="O145" i="12" s="1"/>
  <c r="P145" i="12" s="1"/>
  <c r="G144" i="12"/>
  <c r="H144" i="12" s="1"/>
  <c r="I144" i="12" s="1"/>
  <c r="J144" i="12" s="1"/>
  <c r="K144" i="12" s="1"/>
  <c r="L144" i="12" s="1"/>
  <c r="M144" i="12" s="1"/>
  <c r="N144" i="12" s="1"/>
  <c r="O144" i="12" s="1"/>
  <c r="P144" i="12" s="1"/>
  <c r="G143" i="12"/>
  <c r="H143" i="12" s="1"/>
  <c r="I143" i="12" s="1"/>
  <c r="J143" i="12" s="1"/>
  <c r="K143" i="12" s="1"/>
  <c r="L143" i="12" s="1"/>
  <c r="M143" i="12" s="1"/>
  <c r="N143" i="12" s="1"/>
  <c r="O143" i="12" s="1"/>
  <c r="P143" i="12" s="1"/>
  <c r="G142" i="12"/>
  <c r="H142" i="12" s="1"/>
  <c r="I142" i="12" s="1"/>
  <c r="J142" i="12" s="1"/>
  <c r="K142" i="12" s="1"/>
  <c r="L142" i="12" s="1"/>
  <c r="M142" i="12" s="1"/>
  <c r="N142" i="12" s="1"/>
  <c r="O142" i="12" s="1"/>
  <c r="P142" i="12" s="1"/>
  <c r="G141" i="12"/>
  <c r="H141" i="12" s="1"/>
  <c r="I141" i="12" s="1"/>
  <c r="F139" i="12"/>
  <c r="G139" i="12" s="1"/>
  <c r="H139" i="12" s="1"/>
  <c r="I139" i="12" s="1"/>
  <c r="J139" i="12" s="1"/>
  <c r="K139" i="12" s="1"/>
  <c r="L139" i="12" s="1"/>
  <c r="M139" i="12" s="1"/>
  <c r="N139" i="12" s="1"/>
  <c r="O139" i="12" s="1"/>
  <c r="P139" i="12" s="1"/>
  <c r="E139" i="12"/>
  <c r="D139" i="12"/>
  <c r="C139" i="12"/>
  <c r="F135" i="12"/>
  <c r="E135" i="12"/>
  <c r="D135" i="12"/>
  <c r="C135" i="12"/>
  <c r="B135" i="12"/>
  <c r="F120" i="12"/>
  <c r="E120" i="12"/>
  <c r="D120" i="12"/>
  <c r="C120" i="12"/>
  <c r="B120" i="12"/>
  <c r="H119" i="12"/>
  <c r="I119" i="12" s="1"/>
  <c r="J119" i="12" s="1"/>
  <c r="K119" i="12" s="1"/>
  <c r="L119" i="12" s="1"/>
  <c r="M119" i="12" s="1"/>
  <c r="N119" i="12" s="1"/>
  <c r="O119" i="12" s="1"/>
  <c r="P119" i="12" s="1"/>
  <c r="F109" i="12"/>
  <c r="E109" i="12"/>
  <c r="D109" i="12"/>
  <c r="F106" i="12"/>
  <c r="E106" i="12"/>
  <c r="D106" i="12"/>
  <c r="C106" i="12"/>
  <c r="F103" i="12"/>
  <c r="D100" i="12"/>
  <c r="C100" i="12"/>
  <c r="B100" i="12"/>
  <c r="G97" i="12"/>
  <c r="H97" i="12" s="1"/>
  <c r="I97" i="12" s="1"/>
  <c r="J97" i="12" s="1"/>
  <c r="K97" i="12" s="1"/>
  <c r="L97" i="12" s="1"/>
  <c r="M97" i="12" s="1"/>
  <c r="N97" i="12" s="1"/>
  <c r="O97" i="12" s="1"/>
  <c r="P97" i="12" s="1"/>
  <c r="B97" i="12"/>
  <c r="C96" i="12"/>
  <c r="D96" i="12" s="1"/>
  <c r="E96" i="12" s="1"/>
  <c r="F96" i="12" s="1"/>
  <c r="G96" i="12" s="1"/>
  <c r="H96" i="12" s="1"/>
  <c r="I96" i="12" s="1"/>
  <c r="J96" i="12" s="1"/>
  <c r="K96" i="12" s="1"/>
  <c r="L96" i="12" s="1"/>
  <c r="M96" i="12" s="1"/>
  <c r="N96" i="12" s="1"/>
  <c r="O96" i="12" s="1"/>
  <c r="P96" i="12" s="1"/>
  <c r="G84" i="12"/>
  <c r="L32" i="13"/>
  <c r="M32" i="13"/>
  <c r="K32" i="13"/>
  <c r="S32" i="13"/>
  <c r="T32" i="13"/>
  <c r="R32" i="13"/>
  <c r="S19" i="13"/>
  <c r="T19" i="13"/>
  <c r="T29" i="13" s="1"/>
  <c r="S20" i="13"/>
  <c r="S28" i="13" s="1"/>
  <c r="E46" i="13" s="1"/>
  <c r="H46" i="13" s="1"/>
  <c r="K46" i="13" s="1"/>
  <c r="N46" i="13" s="1"/>
  <c r="T20" i="13"/>
  <c r="S21" i="13"/>
  <c r="T21" i="13"/>
  <c r="S22" i="13"/>
  <c r="T22" i="13"/>
  <c r="T27" i="13" s="1"/>
  <c r="D47" i="13" s="1"/>
  <c r="G47" i="13" s="1"/>
  <c r="J47" i="13" s="1"/>
  <c r="M47" i="13" s="1"/>
  <c r="S23" i="13"/>
  <c r="S29" i="13" s="1"/>
  <c r="T23" i="13"/>
  <c r="S24" i="13"/>
  <c r="S27" i="13" s="1"/>
  <c r="D46" i="13" s="1"/>
  <c r="G46" i="13" s="1"/>
  <c r="J46" i="13" s="1"/>
  <c r="M46" i="13" s="1"/>
  <c r="T24" i="13"/>
  <c r="T30" i="13" s="1"/>
  <c r="F47" i="13" s="1"/>
  <c r="I47" i="13" s="1"/>
  <c r="L47" i="13" s="1"/>
  <c r="O47" i="13" s="1"/>
  <c r="R20" i="13"/>
  <c r="R30" i="13" s="1"/>
  <c r="F45" i="13" s="1"/>
  <c r="I45" i="13" s="1"/>
  <c r="L45" i="13" s="1"/>
  <c r="O45" i="13" s="1"/>
  <c r="R21" i="13"/>
  <c r="R22" i="13"/>
  <c r="R23" i="13"/>
  <c r="R24" i="13"/>
  <c r="R19" i="13"/>
  <c r="L19" i="13"/>
  <c r="L30" i="13" s="1"/>
  <c r="F40" i="13" s="1"/>
  <c r="I40" i="13" s="1"/>
  <c r="L40" i="13" s="1"/>
  <c r="O40" i="13" s="1"/>
  <c r="M19" i="13"/>
  <c r="L20" i="13"/>
  <c r="M20" i="13"/>
  <c r="M30" i="13" s="1"/>
  <c r="F41" i="13" s="1"/>
  <c r="I41" i="13" s="1"/>
  <c r="L41" i="13" s="1"/>
  <c r="O41" i="13" s="1"/>
  <c r="L21" i="13"/>
  <c r="M21" i="13"/>
  <c r="L22" i="13"/>
  <c r="M22" i="13"/>
  <c r="L23" i="13"/>
  <c r="M23" i="13"/>
  <c r="M29" i="13" s="1"/>
  <c r="L24" i="13"/>
  <c r="M24" i="13"/>
  <c r="K20" i="13"/>
  <c r="K21" i="13"/>
  <c r="K22" i="13"/>
  <c r="K23" i="13"/>
  <c r="K24" i="13"/>
  <c r="K19" i="13"/>
  <c r="C20" i="12"/>
  <c r="B20" i="12"/>
  <c r="C111" i="12" s="1"/>
  <c r="H57" i="4"/>
  <c r="I57" i="4" s="1"/>
  <c r="J57" i="4" s="1"/>
  <c r="K57" i="4" s="1"/>
  <c r="H150" i="4"/>
  <c r="I150" i="4" s="1"/>
  <c r="J150" i="4" s="1"/>
  <c r="K150" i="4" s="1"/>
  <c r="L150" i="4" s="1"/>
  <c r="M150" i="4" s="1"/>
  <c r="N150" i="4" s="1"/>
  <c r="O150" i="4" s="1"/>
  <c r="P150" i="4" s="1"/>
  <c r="Q150" i="4" s="1"/>
  <c r="C112" i="4"/>
  <c r="E55" i="10"/>
  <c r="I118" i="4"/>
  <c r="J118" i="4" s="1"/>
  <c r="K118" i="4" s="1"/>
  <c r="L118" i="4" s="1"/>
  <c r="M118" i="4" s="1"/>
  <c r="N118" i="4" s="1"/>
  <c r="O118" i="4" s="1"/>
  <c r="P118" i="4" s="1"/>
  <c r="Q118" i="4" s="1"/>
  <c r="F39" i="13"/>
  <c r="I39" i="13" s="1"/>
  <c r="L39" i="13" s="1"/>
  <c r="O39" i="13" s="1"/>
  <c r="S30" i="13"/>
  <c r="F46" i="13" s="1"/>
  <c r="I46" i="13" s="1"/>
  <c r="L46" i="13" s="1"/>
  <c r="O46" i="13" s="1"/>
  <c r="K30" i="13"/>
  <c r="K29" i="13"/>
  <c r="K28" i="13"/>
  <c r="E39" i="13" s="1"/>
  <c r="H39" i="13" s="1"/>
  <c r="K39" i="13" s="1"/>
  <c r="N39" i="13" s="1"/>
  <c r="M27" i="13"/>
  <c r="D41" i="13" s="1"/>
  <c r="G41" i="13" s="1"/>
  <c r="J41" i="13" s="1"/>
  <c r="M41" i="13" s="1"/>
  <c r="K27" i="13"/>
  <c r="D39" i="13" s="1"/>
  <c r="G39" i="13" s="1"/>
  <c r="J39" i="13" s="1"/>
  <c r="M39" i="13" s="1"/>
  <c r="E44" i="11"/>
  <c r="D44" i="11"/>
  <c r="C44" i="11"/>
  <c r="E43" i="11"/>
  <c r="D43" i="11"/>
  <c r="C43" i="11"/>
  <c r="C40" i="11"/>
  <c r="E41" i="11"/>
  <c r="D41" i="11"/>
  <c r="C41" i="11"/>
  <c r="B201" i="12" l="1"/>
  <c r="E201" i="12"/>
  <c r="E216" i="12"/>
  <c r="C198" i="12"/>
  <c r="F203" i="12"/>
  <c r="F257" i="12"/>
  <c r="E198" i="12"/>
  <c r="B198" i="12"/>
  <c r="C244" i="12"/>
  <c r="D198" i="12"/>
  <c r="E203" i="12"/>
  <c r="E227" i="12"/>
  <c r="B206" i="12"/>
  <c r="D195" i="12"/>
  <c r="F216" i="12"/>
  <c r="F220" i="12" s="1"/>
  <c r="G220" i="12" s="1"/>
  <c r="H220" i="12" s="1"/>
  <c r="I220" i="12" s="1"/>
  <c r="J220" i="12" s="1"/>
  <c r="K220" i="12" s="1"/>
  <c r="L220" i="12" s="1"/>
  <c r="M220" i="12" s="1"/>
  <c r="N220" i="12" s="1"/>
  <c r="O220" i="12" s="1"/>
  <c r="P220" i="12" s="1"/>
  <c r="D201" i="12"/>
  <c r="D244" i="12"/>
  <c r="B181" i="12"/>
  <c r="C181" i="12"/>
  <c r="D227" i="12"/>
  <c r="D181" i="12"/>
  <c r="E181" i="12"/>
  <c r="F181" i="12"/>
  <c r="D216" i="12"/>
  <c r="B259" i="12"/>
  <c r="C259" i="12"/>
  <c r="D259" i="12"/>
  <c r="E259" i="12"/>
  <c r="E244" i="12"/>
  <c r="D194" i="12"/>
  <c r="F244" i="12"/>
  <c r="F227" i="12"/>
  <c r="G227" i="12" s="1"/>
  <c r="H227" i="12" s="1"/>
  <c r="I227" i="12" s="1"/>
  <c r="J227" i="12" s="1"/>
  <c r="K227" i="12" s="1"/>
  <c r="L227" i="12" s="1"/>
  <c r="M227" i="12" s="1"/>
  <c r="N227" i="12" s="1"/>
  <c r="O227" i="12" s="1"/>
  <c r="P227" i="12" s="1"/>
  <c r="E194" i="12"/>
  <c r="B195" i="12"/>
  <c r="C194" i="12"/>
  <c r="C195" i="12"/>
  <c r="F201" i="12"/>
  <c r="F198" i="12"/>
  <c r="F195" i="12"/>
  <c r="F272" i="12"/>
  <c r="C206" i="12"/>
  <c r="C227" i="12"/>
  <c r="G243" i="12"/>
  <c r="G244" i="12" s="1"/>
  <c r="K232" i="12"/>
  <c r="J243" i="12"/>
  <c r="I243" i="12"/>
  <c r="G256" i="12"/>
  <c r="H264" i="12"/>
  <c r="I264" i="12" s="1"/>
  <c r="J264" i="12" s="1"/>
  <c r="K264" i="12" s="1"/>
  <c r="L264" i="12" s="1"/>
  <c r="M264" i="12" s="1"/>
  <c r="N264" i="12" s="1"/>
  <c r="O264" i="12" s="1"/>
  <c r="P264" i="12" s="1"/>
  <c r="G263" i="12"/>
  <c r="H270" i="12"/>
  <c r="I270" i="12" s="1"/>
  <c r="J270" i="12" s="1"/>
  <c r="K270" i="12" s="1"/>
  <c r="L270" i="12" s="1"/>
  <c r="M270" i="12" s="1"/>
  <c r="N270" i="12" s="1"/>
  <c r="O270" i="12" s="1"/>
  <c r="P270" i="12" s="1"/>
  <c r="G269" i="12"/>
  <c r="H230" i="12"/>
  <c r="I230" i="12" s="1"/>
  <c r="J230" i="12" s="1"/>
  <c r="K230" i="12" s="1"/>
  <c r="L230" i="12" s="1"/>
  <c r="M230" i="12" s="1"/>
  <c r="N230" i="12" s="1"/>
  <c r="O230" i="12" s="1"/>
  <c r="P230" i="12" s="1"/>
  <c r="G229" i="12"/>
  <c r="F259" i="12"/>
  <c r="D203" i="12"/>
  <c r="H243" i="12"/>
  <c r="H246" i="12"/>
  <c r="D206" i="12"/>
  <c r="D215" i="12"/>
  <c r="E215" i="12"/>
  <c r="B216" i="12"/>
  <c r="H266" i="12"/>
  <c r="F206" i="12"/>
  <c r="F215" i="12"/>
  <c r="G215" i="12" s="1"/>
  <c r="H215" i="12" s="1"/>
  <c r="I215" i="12" s="1"/>
  <c r="J215" i="12" s="1"/>
  <c r="K215" i="12" s="1"/>
  <c r="L215" i="12" s="1"/>
  <c r="M215" i="12" s="1"/>
  <c r="N215" i="12" s="1"/>
  <c r="O215" i="12" s="1"/>
  <c r="P215" i="12" s="1"/>
  <c r="C216" i="12"/>
  <c r="C257" i="12"/>
  <c r="C215" i="12"/>
  <c r="D257" i="12"/>
  <c r="C201" i="12"/>
  <c r="E257" i="12"/>
  <c r="C124" i="12"/>
  <c r="D136" i="12"/>
  <c r="F166" i="12"/>
  <c r="C103" i="12"/>
  <c r="F124" i="12"/>
  <c r="G124" i="12" s="1"/>
  <c r="H124" i="12" s="1"/>
  <c r="I124" i="12" s="1"/>
  <c r="J124" i="12" s="1"/>
  <c r="K124" i="12" s="1"/>
  <c r="L124" i="12" s="1"/>
  <c r="M124" i="12" s="1"/>
  <c r="N124" i="12" s="1"/>
  <c r="O124" i="12" s="1"/>
  <c r="P124" i="12" s="1"/>
  <c r="G172" i="12"/>
  <c r="G181" i="12" s="1"/>
  <c r="C153" i="12"/>
  <c r="E125" i="12"/>
  <c r="B90" i="12"/>
  <c r="F153" i="12"/>
  <c r="F136" i="12"/>
  <c r="G136" i="12" s="1"/>
  <c r="H136" i="12" s="1"/>
  <c r="I136" i="12" s="1"/>
  <c r="J136" i="12" s="1"/>
  <c r="K136" i="12" s="1"/>
  <c r="L136" i="12" s="1"/>
  <c r="M136" i="12" s="1"/>
  <c r="N136" i="12" s="1"/>
  <c r="O136" i="12" s="1"/>
  <c r="P136" i="12" s="1"/>
  <c r="C107" i="12"/>
  <c r="C110" i="12"/>
  <c r="F125" i="12"/>
  <c r="D168" i="12"/>
  <c r="C168" i="12"/>
  <c r="E168" i="12"/>
  <c r="C104" i="12"/>
  <c r="C115" i="12"/>
  <c r="E166" i="12"/>
  <c r="F115" i="12"/>
  <c r="B111" i="12"/>
  <c r="B104" i="12" s="1"/>
  <c r="F111" i="12"/>
  <c r="D153" i="12"/>
  <c r="G165" i="12"/>
  <c r="G166" i="12" s="1"/>
  <c r="E111" i="12"/>
  <c r="D111" i="12"/>
  <c r="D104" i="12" s="1"/>
  <c r="H179" i="12"/>
  <c r="I179" i="12" s="1"/>
  <c r="J179" i="12" s="1"/>
  <c r="K179" i="12" s="1"/>
  <c r="L179" i="12" s="1"/>
  <c r="M179" i="12" s="1"/>
  <c r="N179" i="12" s="1"/>
  <c r="O179" i="12" s="1"/>
  <c r="P179" i="12" s="1"/>
  <c r="D115" i="12"/>
  <c r="E103" i="12"/>
  <c r="H165" i="12"/>
  <c r="I155" i="12"/>
  <c r="B168" i="12"/>
  <c r="B125" i="12"/>
  <c r="D103" i="12"/>
  <c r="B115" i="12"/>
  <c r="C136" i="12"/>
  <c r="E136" i="12"/>
  <c r="H152" i="12"/>
  <c r="J141" i="12"/>
  <c r="I152" i="12"/>
  <c r="G152" i="12"/>
  <c r="E153" i="12"/>
  <c r="F168" i="12"/>
  <c r="E115" i="12"/>
  <c r="E124" i="12"/>
  <c r="H175" i="12"/>
  <c r="C125" i="12"/>
  <c r="G138" i="12"/>
  <c r="H138" i="12" s="1"/>
  <c r="I138" i="12" s="1"/>
  <c r="J138" i="12" s="1"/>
  <c r="K138" i="12" s="1"/>
  <c r="L138" i="12" s="1"/>
  <c r="M138" i="12" s="1"/>
  <c r="N138" i="12" s="1"/>
  <c r="O138" i="12" s="1"/>
  <c r="P138" i="12" s="1"/>
  <c r="C166" i="12"/>
  <c r="D125" i="12"/>
  <c r="D166" i="12"/>
  <c r="D124" i="12"/>
  <c r="T28" i="13"/>
  <c r="E47" i="13" s="1"/>
  <c r="H47" i="13" s="1"/>
  <c r="K47" i="13" s="1"/>
  <c r="N47" i="13" s="1"/>
  <c r="R29" i="13"/>
  <c r="R28" i="13"/>
  <c r="E45" i="13" s="1"/>
  <c r="H45" i="13" s="1"/>
  <c r="K45" i="13" s="1"/>
  <c r="N45" i="13" s="1"/>
  <c r="R27" i="13"/>
  <c r="D45" i="13" s="1"/>
  <c r="G45" i="13" s="1"/>
  <c r="J45" i="13" s="1"/>
  <c r="M45" i="13" s="1"/>
  <c r="L27" i="13"/>
  <c r="D40" i="13" s="1"/>
  <c r="G40" i="13" s="1"/>
  <c r="J40" i="13" s="1"/>
  <c r="M40" i="13" s="1"/>
  <c r="L29" i="13"/>
  <c r="L28" i="13"/>
  <c r="E40" i="13" s="1"/>
  <c r="H40" i="13" s="1"/>
  <c r="K40" i="13" s="1"/>
  <c r="N40" i="13" s="1"/>
  <c r="M28" i="13"/>
  <c r="E41" i="13" s="1"/>
  <c r="H41" i="13" s="1"/>
  <c r="K41" i="13" s="1"/>
  <c r="N41" i="13" s="1"/>
  <c r="G33" i="11"/>
  <c r="H33" i="11"/>
  <c r="F33" i="11"/>
  <c r="G32" i="11"/>
  <c r="H32" i="11"/>
  <c r="F32" i="11"/>
  <c r="G31" i="11"/>
  <c r="D40" i="11" s="1"/>
  <c r="D42" i="11" s="1"/>
  <c r="H31" i="11"/>
  <c r="E40" i="11" s="1"/>
  <c r="E42" i="11" s="1"/>
  <c r="F31" i="11"/>
  <c r="C42" i="11" s="1"/>
  <c r="G30" i="11"/>
  <c r="H30" i="11"/>
  <c r="F30" i="11"/>
  <c r="I48" i="5"/>
  <c r="H48" i="5" s="1"/>
  <c r="D37" i="5"/>
  <c r="E37" i="5"/>
  <c r="F37" i="5"/>
  <c r="G37" i="5"/>
  <c r="H37" i="5"/>
  <c r="G52" i="5"/>
  <c r="G53" i="5" s="1"/>
  <c r="G50" i="5"/>
  <c r="G49" i="5"/>
  <c r="J21" i="10"/>
  <c r="K21" i="10" s="1"/>
  <c r="L21" i="10" s="1"/>
  <c r="M21" i="10" s="1"/>
  <c r="N21" i="10" s="1"/>
  <c r="O21" i="10" s="1"/>
  <c r="P21" i="10" s="1"/>
  <c r="Q21" i="10" s="1"/>
  <c r="R21" i="10" s="1"/>
  <c r="D54" i="5"/>
  <c r="D55" i="5"/>
  <c r="I69" i="10"/>
  <c r="I71" i="10" s="1"/>
  <c r="C22" i="5" s="1"/>
  <c r="F57" i="10"/>
  <c r="G57" i="10"/>
  <c r="H57" i="10"/>
  <c r="E57" i="10"/>
  <c r="F61" i="10"/>
  <c r="G61" i="10"/>
  <c r="H61" i="10"/>
  <c r="F62" i="10"/>
  <c r="G62" i="10"/>
  <c r="H62" i="10"/>
  <c r="E62" i="10"/>
  <c r="F60" i="10"/>
  <c r="G60" i="10"/>
  <c r="H60" i="10"/>
  <c r="E60" i="10"/>
  <c r="F55" i="10"/>
  <c r="G55" i="10"/>
  <c r="H55" i="10"/>
  <c r="G56" i="10"/>
  <c r="H56" i="10"/>
  <c r="F56" i="10"/>
  <c r="E56" i="10"/>
  <c r="I157" i="4"/>
  <c r="J41" i="5"/>
  <c r="K41" i="5" s="1"/>
  <c r="L41" i="5" s="1"/>
  <c r="M41" i="5" s="1"/>
  <c r="N41" i="5" s="1"/>
  <c r="O41" i="5" s="1"/>
  <c r="P41" i="5" s="1"/>
  <c r="Q41" i="5" s="1"/>
  <c r="R41" i="5" s="1"/>
  <c r="I33" i="5"/>
  <c r="D58" i="5"/>
  <c r="I103" i="4"/>
  <c r="J103" i="4" s="1"/>
  <c r="K103" i="4" s="1"/>
  <c r="L103" i="4" s="1"/>
  <c r="M103" i="4" s="1"/>
  <c r="N103" i="4" s="1"/>
  <c r="O103" i="4" s="1"/>
  <c r="P103" i="4" s="1"/>
  <c r="Q103" i="4" s="1"/>
  <c r="D103" i="4"/>
  <c r="E103" i="4"/>
  <c r="F103" i="4"/>
  <c r="G103" i="4"/>
  <c r="C103" i="4"/>
  <c r="D104" i="4"/>
  <c r="E104" i="4"/>
  <c r="F104" i="4"/>
  <c r="G104" i="4"/>
  <c r="C104" i="4"/>
  <c r="I104" i="4"/>
  <c r="J104" i="4" s="1"/>
  <c r="K104" i="4" s="1"/>
  <c r="L104" i="4" s="1"/>
  <c r="M104" i="4" s="1"/>
  <c r="N104" i="4" s="1"/>
  <c r="O104" i="4" s="1"/>
  <c r="P104" i="4" s="1"/>
  <c r="Q104" i="4" s="1"/>
  <c r="H36" i="5"/>
  <c r="G36" i="5"/>
  <c r="F36" i="5"/>
  <c r="E36" i="5"/>
  <c r="H113" i="4"/>
  <c r="I113" i="4" s="1"/>
  <c r="J113" i="4" s="1"/>
  <c r="K113" i="4" s="1"/>
  <c r="L113" i="4" s="1"/>
  <c r="M113" i="4" s="1"/>
  <c r="N113" i="4" s="1"/>
  <c r="O113" i="4" s="1"/>
  <c r="P113" i="4" s="1"/>
  <c r="Q113" i="4" s="1"/>
  <c r="H114" i="4"/>
  <c r="I114" i="4" s="1"/>
  <c r="J114" i="4" s="1"/>
  <c r="K114" i="4" s="1"/>
  <c r="L114" i="4" s="1"/>
  <c r="M114" i="4" s="1"/>
  <c r="N114" i="4" s="1"/>
  <c r="O114" i="4" s="1"/>
  <c r="P114" i="4" s="1"/>
  <c r="Q114" i="4" s="1"/>
  <c r="J82" i="10"/>
  <c r="K82" i="10" s="1"/>
  <c r="L82" i="10" s="1"/>
  <c r="M82" i="10" s="1"/>
  <c r="N82" i="10" s="1"/>
  <c r="O82" i="10" s="1"/>
  <c r="P82" i="10" s="1"/>
  <c r="Q82" i="10" s="1"/>
  <c r="R82" i="10" s="1"/>
  <c r="J83" i="10"/>
  <c r="K83" i="10" s="1"/>
  <c r="L83" i="10" s="1"/>
  <c r="M83" i="10" s="1"/>
  <c r="N83" i="10" s="1"/>
  <c r="O83" i="10" s="1"/>
  <c r="P83" i="10" s="1"/>
  <c r="Q83" i="10" s="1"/>
  <c r="R83" i="10" s="1"/>
  <c r="D143" i="4"/>
  <c r="D148" i="4" s="1"/>
  <c r="E143" i="4"/>
  <c r="E148" i="4" s="1"/>
  <c r="F143" i="4"/>
  <c r="F148" i="4" s="1"/>
  <c r="G143" i="4"/>
  <c r="G148" i="4" s="1"/>
  <c r="C143" i="4"/>
  <c r="C148" i="4" s="1"/>
  <c r="J105" i="10"/>
  <c r="K105" i="10" s="1"/>
  <c r="L105" i="10" s="1"/>
  <c r="M105" i="10" s="1"/>
  <c r="N105" i="10" s="1"/>
  <c r="O105" i="10" s="1"/>
  <c r="P105" i="10" s="1"/>
  <c r="Q105" i="10" s="1"/>
  <c r="R105" i="10" s="1"/>
  <c r="E105" i="10"/>
  <c r="E99" i="10" s="1"/>
  <c r="F105" i="10"/>
  <c r="F99" i="10" s="1"/>
  <c r="G105" i="10"/>
  <c r="G99" i="10" s="1"/>
  <c r="H105" i="10"/>
  <c r="H99" i="10" s="1"/>
  <c r="D105" i="10"/>
  <c r="D99" i="10" s="1"/>
  <c r="I147" i="4"/>
  <c r="J147" i="4" s="1"/>
  <c r="K147" i="4" s="1"/>
  <c r="L147" i="4" s="1"/>
  <c r="M147" i="4" s="1"/>
  <c r="N147" i="4" s="1"/>
  <c r="O147" i="4" s="1"/>
  <c r="P147" i="4" s="1"/>
  <c r="Q147" i="4" s="1"/>
  <c r="I137" i="4"/>
  <c r="J137" i="4" s="1"/>
  <c r="K137" i="4" s="1"/>
  <c r="L137" i="4" s="1"/>
  <c r="M137" i="4" s="1"/>
  <c r="N137" i="4" s="1"/>
  <c r="O137" i="4" s="1"/>
  <c r="P137" i="4" s="1"/>
  <c r="Q137" i="4" s="1"/>
  <c r="I139" i="4"/>
  <c r="J139" i="4" s="1"/>
  <c r="K139" i="4" s="1"/>
  <c r="L139" i="4" s="1"/>
  <c r="M139" i="4" s="1"/>
  <c r="N139" i="4" s="1"/>
  <c r="O139" i="4" s="1"/>
  <c r="P139" i="4" s="1"/>
  <c r="Q139" i="4" s="1"/>
  <c r="I138" i="4"/>
  <c r="J138" i="4" s="1"/>
  <c r="K138" i="4" s="1"/>
  <c r="L138" i="4" s="1"/>
  <c r="M138" i="4" s="1"/>
  <c r="N138" i="4" s="1"/>
  <c r="O138" i="4" s="1"/>
  <c r="P138" i="4" s="1"/>
  <c r="Q138" i="4" s="1"/>
  <c r="I97" i="4"/>
  <c r="J97" i="4" s="1"/>
  <c r="K97" i="4" s="1"/>
  <c r="L97" i="4" s="1"/>
  <c r="M97" i="4" s="1"/>
  <c r="N97" i="4" s="1"/>
  <c r="O97" i="4" s="1"/>
  <c r="P97" i="4" s="1"/>
  <c r="Q97" i="4" s="1"/>
  <c r="D97" i="4"/>
  <c r="E97" i="4"/>
  <c r="F97" i="4"/>
  <c r="G97" i="4"/>
  <c r="C97" i="4"/>
  <c r="D157" i="4"/>
  <c r="E157" i="4"/>
  <c r="F157" i="4"/>
  <c r="G157" i="4"/>
  <c r="C157" i="4"/>
  <c r="H86" i="4"/>
  <c r="J104" i="10"/>
  <c r="K104" i="10" s="1"/>
  <c r="L104" i="10" s="1"/>
  <c r="M104" i="10" s="1"/>
  <c r="N104" i="10" s="1"/>
  <c r="O104" i="10" s="1"/>
  <c r="P104" i="10" s="1"/>
  <c r="Q104" i="10" s="1"/>
  <c r="R104" i="10" s="1"/>
  <c r="J103" i="10"/>
  <c r="K103" i="10" s="1"/>
  <c r="L103" i="10" s="1"/>
  <c r="M103" i="10" s="1"/>
  <c r="N103" i="10" s="1"/>
  <c r="O103" i="10" s="1"/>
  <c r="P103" i="10" s="1"/>
  <c r="Q103" i="10" s="1"/>
  <c r="R103" i="10" s="1"/>
  <c r="E100" i="10"/>
  <c r="E104" i="10" s="1"/>
  <c r="F100" i="10"/>
  <c r="F104" i="10" s="1"/>
  <c r="G100" i="10"/>
  <c r="G104" i="10" s="1"/>
  <c r="H100" i="10"/>
  <c r="H104" i="10" s="1"/>
  <c r="D100" i="10"/>
  <c r="D101" i="10" s="1"/>
  <c r="E94" i="10" s="1"/>
  <c r="J27" i="10"/>
  <c r="K27" i="10" s="1"/>
  <c r="L27" i="10" s="1"/>
  <c r="M27" i="10" s="1"/>
  <c r="N27" i="10" s="1"/>
  <c r="O27" i="10" s="1"/>
  <c r="P27" i="10" s="1"/>
  <c r="Q27" i="10" s="1"/>
  <c r="R27" i="10" s="1"/>
  <c r="R33" i="5" s="1"/>
  <c r="D26" i="10"/>
  <c r="E35" i="5"/>
  <c r="F35" i="5"/>
  <c r="G35" i="5"/>
  <c r="H35" i="5"/>
  <c r="D35" i="5"/>
  <c r="J92" i="10"/>
  <c r="K92" i="10" s="1"/>
  <c r="L92" i="10" s="1"/>
  <c r="M92" i="10" s="1"/>
  <c r="N92" i="10" s="1"/>
  <c r="O92" i="10" s="1"/>
  <c r="P92" i="10" s="1"/>
  <c r="Q92" i="10" s="1"/>
  <c r="R92" i="10" s="1"/>
  <c r="E90" i="10"/>
  <c r="F87" i="10" s="1"/>
  <c r="F90" i="10"/>
  <c r="G87" i="10" s="1"/>
  <c r="G90" i="10"/>
  <c r="H90" i="10"/>
  <c r="I87" i="10" s="1"/>
  <c r="D90" i="10"/>
  <c r="H83" i="4"/>
  <c r="I83" i="4" s="1"/>
  <c r="J83" i="4" s="1"/>
  <c r="K83" i="4" s="1"/>
  <c r="L83" i="4" s="1"/>
  <c r="M83" i="4" s="1"/>
  <c r="N83" i="4" s="1"/>
  <c r="O83" i="4" s="1"/>
  <c r="P83" i="4" s="1"/>
  <c r="Q83" i="4" s="1"/>
  <c r="H76" i="4"/>
  <c r="I76" i="4" s="1"/>
  <c r="J76" i="4" s="1"/>
  <c r="K76" i="4" s="1"/>
  <c r="L76" i="4" s="1"/>
  <c r="M76" i="4" s="1"/>
  <c r="N76" i="4" s="1"/>
  <c r="O76" i="4" s="1"/>
  <c r="P76" i="4" s="1"/>
  <c r="Q76" i="4" s="1"/>
  <c r="I102" i="4"/>
  <c r="J102" i="4" s="1"/>
  <c r="K102" i="4" s="1"/>
  <c r="L102" i="4" s="1"/>
  <c r="M102" i="4" s="1"/>
  <c r="N102" i="4" s="1"/>
  <c r="O102" i="4" s="1"/>
  <c r="P102" i="4" s="1"/>
  <c r="Q102" i="4" s="1"/>
  <c r="D102" i="4"/>
  <c r="E102" i="4"/>
  <c r="F102" i="4"/>
  <c r="G102" i="4"/>
  <c r="C102" i="4"/>
  <c r="I101" i="4"/>
  <c r="J101" i="4" s="1"/>
  <c r="K101" i="4" s="1"/>
  <c r="L101" i="4" s="1"/>
  <c r="M101" i="4" s="1"/>
  <c r="N101" i="4" s="1"/>
  <c r="O101" i="4" s="1"/>
  <c r="P101" i="4" s="1"/>
  <c r="Q101" i="4" s="1"/>
  <c r="I100" i="4"/>
  <c r="J100" i="4" s="1"/>
  <c r="K100" i="4" s="1"/>
  <c r="L100" i="4" s="1"/>
  <c r="M100" i="4" s="1"/>
  <c r="N100" i="4" s="1"/>
  <c r="O100" i="4" s="1"/>
  <c r="P100" i="4" s="1"/>
  <c r="Q100" i="4" s="1"/>
  <c r="I99" i="4"/>
  <c r="J99" i="4" s="1"/>
  <c r="K99" i="4" s="1"/>
  <c r="L99" i="4" s="1"/>
  <c r="M99" i="4" s="1"/>
  <c r="N99" i="4" s="1"/>
  <c r="O99" i="4" s="1"/>
  <c r="P99" i="4" s="1"/>
  <c r="Q99" i="4" s="1"/>
  <c r="I96" i="4"/>
  <c r="J96" i="4" s="1"/>
  <c r="K96" i="4" s="1"/>
  <c r="L96" i="4" s="1"/>
  <c r="M96" i="4" s="1"/>
  <c r="N96" i="4" s="1"/>
  <c r="O96" i="4" s="1"/>
  <c r="P96" i="4" s="1"/>
  <c r="Q96" i="4" s="1"/>
  <c r="I95" i="4"/>
  <c r="J95" i="4" s="1"/>
  <c r="K95" i="4" s="1"/>
  <c r="L95" i="4" s="1"/>
  <c r="M95" i="4" s="1"/>
  <c r="N95" i="4" s="1"/>
  <c r="O95" i="4" s="1"/>
  <c r="I94" i="4"/>
  <c r="J94" i="4" s="1"/>
  <c r="K94" i="4" s="1"/>
  <c r="L94" i="4" s="1"/>
  <c r="M94" i="4" s="1"/>
  <c r="N94" i="4" s="1"/>
  <c r="O94" i="4" s="1"/>
  <c r="P94" i="4" s="1"/>
  <c r="Q94" i="4" s="1"/>
  <c r="D101" i="4"/>
  <c r="E101" i="4"/>
  <c r="F101" i="4"/>
  <c r="G101" i="4"/>
  <c r="C101" i="4"/>
  <c r="D100" i="4"/>
  <c r="E100" i="4"/>
  <c r="F100" i="4"/>
  <c r="G100" i="4"/>
  <c r="D99" i="4"/>
  <c r="E99" i="4"/>
  <c r="F99" i="4"/>
  <c r="G99" i="4"/>
  <c r="C99" i="4"/>
  <c r="H69" i="4"/>
  <c r="I69" i="4" s="1"/>
  <c r="J69" i="4" s="1"/>
  <c r="K69" i="4" s="1"/>
  <c r="L69" i="4" s="1"/>
  <c r="M69" i="4" s="1"/>
  <c r="N69" i="4" s="1"/>
  <c r="O69" i="4" s="1"/>
  <c r="P69" i="4" s="1"/>
  <c r="Q69" i="4" s="1"/>
  <c r="H68" i="4"/>
  <c r="D96" i="4"/>
  <c r="E96" i="4"/>
  <c r="F96" i="4"/>
  <c r="G96" i="4"/>
  <c r="C96" i="4"/>
  <c r="H56" i="4"/>
  <c r="I56" i="4" s="1"/>
  <c r="J56" i="4" s="1"/>
  <c r="K56" i="4" s="1"/>
  <c r="L56" i="4" s="1"/>
  <c r="M56" i="4" s="1"/>
  <c r="N56" i="4" s="1"/>
  <c r="O56" i="4" s="1"/>
  <c r="P56" i="4" s="1"/>
  <c r="Q56" i="4" s="1"/>
  <c r="D95" i="4"/>
  <c r="E95" i="4"/>
  <c r="F95" i="4"/>
  <c r="G95" i="4"/>
  <c r="C95" i="4"/>
  <c r="D94" i="4"/>
  <c r="E94" i="4"/>
  <c r="F94" i="4"/>
  <c r="G94" i="4"/>
  <c r="C94" i="4"/>
  <c r="E50" i="10"/>
  <c r="F48" i="10" s="1"/>
  <c r="F50" i="10"/>
  <c r="G48" i="10" s="1"/>
  <c r="G50" i="10"/>
  <c r="H48" i="10" s="1"/>
  <c r="H50" i="10"/>
  <c r="D50" i="10"/>
  <c r="E48" i="10" s="1"/>
  <c r="I45" i="10"/>
  <c r="J44" i="10"/>
  <c r="K44" i="10" s="1"/>
  <c r="J36" i="10"/>
  <c r="K36" i="10" s="1"/>
  <c r="L36" i="10" s="1"/>
  <c r="M36" i="10" s="1"/>
  <c r="N36" i="10" s="1"/>
  <c r="O36" i="10" s="1"/>
  <c r="P36" i="10" s="1"/>
  <c r="Q36" i="10" s="1"/>
  <c r="R36" i="10" s="1"/>
  <c r="E42" i="10"/>
  <c r="F40" i="10" s="1"/>
  <c r="F42" i="10"/>
  <c r="G40" i="10" s="1"/>
  <c r="G42" i="10"/>
  <c r="H42" i="10"/>
  <c r="I40" i="10" s="1"/>
  <c r="D42" i="10"/>
  <c r="E40" i="10" s="1"/>
  <c r="E34" i="10"/>
  <c r="F34" i="10"/>
  <c r="G32" i="10" s="1"/>
  <c r="G34" i="10"/>
  <c r="H32" i="10" s="1"/>
  <c r="H34" i="10"/>
  <c r="I32" i="10" s="1"/>
  <c r="D34" i="10"/>
  <c r="E32" i="10" s="1"/>
  <c r="F76" i="10"/>
  <c r="G76" i="10"/>
  <c r="H76" i="10"/>
  <c r="E76" i="10"/>
  <c r="E79" i="10"/>
  <c r="F79" i="10"/>
  <c r="G79" i="10"/>
  <c r="H79" i="10"/>
  <c r="D79" i="10"/>
  <c r="E77" i="10"/>
  <c r="F77" i="10"/>
  <c r="G77" i="10"/>
  <c r="H77" i="10"/>
  <c r="D77" i="10"/>
  <c r="D83" i="10" s="1"/>
  <c r="D260" i="12" l="1"/>
  <c r="E260" i="12"/>
  <c r="E220" i="12"/>
  <c r="D220" i="12"/>
  <c r="H172" i="12"/>
  <c r="I172" i="12" s="1"/>
  <c r="B265" i="12"/>
  <c r="B268" i="12"/>
  <c r="B271" i="12"/>
  <c r="F260" i="12"/>
  <c r="J244" i="12"/>
  <c r="C260" i="12"/>
  <c r="L232" i="12"/>
  <c r="K243" i="12"/>
  <c r="K244" i="12" s="1"/>
  <c r="E210" i="12"/>
  <c r="D210" i="12"/>
  <c r="G216" i="12"/>
  <c r="G257" i="12"/>
  <c r="H256" i="12"/>
  <c r="I246" i="12"/>
  <c r="H269" i="12"/>
  <c r="G272" i="12"/>
  <c r="I244" i="12"/>
  <c r="H244" i="12"/>
  <c r="G211" i="12"/>
  <c r="G206" i="12"/>
  <c r="F210" i="12"/>
  <c r="C220" i="12"/>
  <c r="C210" i="12"/>
  <c r="I266" i="12"/>
  <c r="H263" i="12"/>
  <c r="H229" i="12"/>
  <c r="I229" i="12" s="1"/>
  <c r="J229" i="12" s="1"/>
  <c r="K229" i="12" s="1"/>
  <c r="L229" i="12" s="1"/>
  <c r="M229" i="12" s="1"/>
  <c r="N229" i="12" s="1"/>
  <c r="O229" i="12" s="1"/>
  <c r="P229" i="12" s="1"/>
  <c r="G120" i="12"/>
  <c r="H120" i="12" s="1"/>
  <c r="F129" i="12"/>
  <c r="G129" i="12" s="1"/>
  <c r="H129" i="12" s="1"/>
  <c r="I129" i="12" s="1"/>
  <c r="J129" i="12" s="1"/>
  <c r="K129" i="12" s="1"/>
  <c r="L129" i="12" s="1"/>
  <c r="M129" i="12" s="1"/>
  <c r="N129" i="12" s="1"/>
  <c r="O129" i="12" s="1"/>
  <c r="P129" i="12" s="1"/>
  <c r="E129" i="12"/>
  <c r="D107" i="12"/>
  <c r="C119" i="12"/>
  <c r="E169" i="12"/>
  <c r="C169" i="12"/>
  <c r="H178" i="12"/>
  <c r="I178" i="12" s="1"/>
  <c r="E112" i="12"/>
  <c r="E104" i="12"/>
  <c r="E107" i="12"/>
  <c r="E110" i="12"/>
  <c r="B180" i="12"/>
  <c r="B174" i="12"/>
  <c r="B86" i="12"/>
  <c r="B177" i="12"/>
  <c r="F104" i="12"/>
  <c r="F110" i="12"/>
  <c r="F107" i="12"/>
  <c r="D169" i="12"/>
  <c r="F169" i="12"/>
  <c r="B107" i="12"/>
  <c r="B110" i="12"/>
  <c r="G115" i="12"/>
  <c r="F112" i="12"/>
  <c r="D110" i="12"/>
  <c r="D112" i="12"/>
  <c r="H166" i="12"/>
  <c r="I165" i="12"/>
  <c r="J155" i="12"/>
  <c r="C129" i="12"/>
  <c r="I175" i="12"/>
  <c r="H153" i="12"/>
  <c r="G153" i="12"/>
  <c r="F119" i="12"/>
  <c r="E119" i="12"/>
  <c r="D129" i="12"/>
  <c r="I153" i="12"/>
  <c r="K141" i="12"/>
  <c r="J152" i="12"/>
  <c r="J153" i="12" s="1"/>
  <c r="D119" i="12"/>
  <c r="I86" i="4"/>
  <c r="J86" i="4" s="1"/>
  <c r="K86" i="4" s="1"/>
  <c r="L86" i="4" s="1"/>
  <c r="M86" i="4" s="1"/>
  <c r="N86" i="4" s="1"/>
  <c r="O86" i="4" s="1"/>
  <c r="P86" i="4" s="1"/>
  <c r="Q86" i="4" s="1"/>
  <c r="Q129" i="4"/>
  <c r="N129" i="4"/>
  <c r="M129" i="4"/>
  <c r="K129" i="4"/>
  <c r="O129" i="4"/>
  <c r="I68" i="4"/>
  <c r="L129" i="4"/>
  <c r="J129" i="4"/>
  <c r="I129" i="4"/>
  <c r="H129" i="4"/>
  <c r="P129" i="4"/>
  <c r="E58" i="10"/>
  <c r="F63" i="10"/>
  <c r="K48" i="5"/>
  <c r="L48" i="5" s="1"/>
  <c r="G63" i="10"/>
  <c r="H63" i="10"/>
  <c r="G58" i="10"/>
  <c r="H58" i="10"/>
  <c r="F58" i="10"/>
  <c r="M33" i="5"/>
  <c r="L33" i="5"/>
  <c r="K33" i="5"/>
  <c r="J33" i="5"/>
  <c r="Q33" i="5"/>
  <c r="O33" i="5"/>
  <c r="P33" i="5"/>
  <c r="N33" i="5"/>
  <c r="D104" i="10"/>
  <c r="E101" i="10"/>
  <c r="F94" i="10" s="1"/>
  <c r="J157" i="4"/>
  <c r="K157" i="4" s="1"/>
  <c r="L157" i="4" s="1"/>
  <c r="M157" i="4" s="1"/>
  <c r="N157" i="4" s="1"/>
  <c r="O157" i="4" s="1"/>
  <c r="P157" i="4" s="1"/>
  <c r="Q157" i="4" s="1"/>
  <c r="E87" i="10"/>
  <c r="H87" i="10"/>
  <c r="H49" i="10"/>
  <c r="J45" i="10"/>
  <c r="F41" i="10"/>
  <c r="E49" i="10"/>
  <c r="G49" i="10"/>
  <c r="E41" i="10"/>
  <c r="E33" i="10"/>
  <c r="G41" i="10"/>
  <c r="G33" i="10"/>
  <c r="F49" i="10"/>
  <c r="F32" i="10"/>
  <c r="F33" i="10" s="1"/>
  <c r="I48" i="10"/>
  <c r="H33" i="10"/>
  <c r="H40" i="10"/>
  <c r="H41" i="10" s="1"/>
  <c r="L44" i="10"/>
  <c r="K45" i="10"/>
  <c r="F83" i="10"/>
  <c r="G83" i="10"/>
  <c r="E78" i="10"/>
  <c r="E38" i="5" s="1"/>
  <c r="D78" i="10"/>
  <c r="D38" i="5" s="1"/>
  <c r="H83" i="10"/>
  <c r="G78" i="10"/>
  <c r="G38" i="5" s="1"/>
  <c r="F78" i="10"/>
  <c r="F38" i="5" s="1"/>
  <c r="E83" i="10"/>
  <c r="B121" i="12" l="1"/>
  <c r="B212" i="12"/>
  <c r="B207" i="12"/>
  <c r="B217" i="12"/>
  <c r="G105" i="12"/>
  <c r="G106" i="12" s="1"/>
  <c r="I256" i="12"/>
  <c r="J246" i="12"/>
  <c r="H211" i="12"/>
  <c r="G196" i="12"/>
  <c r="I263" i="12"/>
  <c r="H216" i="12"/>
  <c r="G199" i="12"/>
  <c r="H257" i="12"/>
  <c r="H206" i="12"/>
  <c r="J266" i="12"/>
  <c r="I269" i="12"/>
  <c r="H272" i="12"/>
  <c r="L243" i="12"/>
  <c r="L244" i="12" s="1"/>
  <c r="M232" i="12"/>
  <c r="G125" i="12"/>
  <c r="H125" i="12" s="1"/>
  <c r="H181" i="12"/>
  <c r="B116" i="12"/>
  <c r="B126" i="12"/>
  <c r="H115" i="12"/>
  <c r="I166" i="12"/>
  <c r="I120" i="12"/>
  <c r="H105" i="12"/>
  <c r="J165" i="12"/>
  <c r="K155" i="12"/>
  <c r="J172" i="12"/>
  <c r="J175" i="12"/>
  <c r="L141" i="12"/>
  <c r="K152" i="12"/>
  <c r="K153" i="12" s="1"/>
  <c r="J178" i="12"/>
  <c r="I181" i="12"/>
  <c r="H65" i="10"/>
  <c r="F65" i="10"/>
  <c r="J68" i="4"/>
  <c r="G65" i="10"/>
  <c r="F101" i="10"/>
  <c r="G94" i="10" s="1"/>
  <c r="M44" i="10"/>
  <c r="L45" i="10"/>
  <c r="H199" i="12" l="1"/>
  <c r="I216" i="12"/>
  <c r="I206" i="12"/>
  <c r="G197" i="12"/>
  <c r="M243" i="12"/>
  <c r="M244" i="12" s="1"/>
  <c r="N232" i="12"/>
  <c r="I211" i="12"/>
  <c r="H196" i="12"/>
  <c r="J256" i="12"/>
  <c r="K246" i="12"/>
  <c r="I257" i="12"/>
  <c r="J269" i="12"/>
  <c r="I272" i="12"/>
  <c r="J263" i="12"/>
  <c r="K266" i="12"/>
  <c r="G200" i="12"/>
  <c r="G108" i="12"/>
  <c r="G109" i="12" s="1"/>
  <c r="I115" i="12"/>
  <c r="L152" i="12"/>
  <c r="L153" i="12" s="1"/>
  <c r="M141" i="12"/>
  <c r="H106" i="12"/>
  <c r="K175" i="12"/>
  <c r="K172" i="12"/>
  <c r="J120" i="12"/>
  <c r="I105" i="12"/>
  <c r="H108" i="12"/>
  <c r="I125" i="12"/>
  <c r="L155" i="12"/>
  <c r="K165" i="12"/>
  <c r="K178" i="12"/>
  <c r="J181" i="12"/>
  <c r="J166" i="12"/>
  <c r="K68" i="4"/>
  <c r="G101" i="10"/>
  <c r="H94" i="10" s="1"/>
  <c r="N44" i="10"/>
  <c r="M45" i="10"/>
  <c r="J257" i="12" l="1"/>
  <c r="J206" i="12"/>
  <c r="L246" i="12"/>
  <c r="K256" i="12"/>
  <c r="J211" i="12"/>
  <c r="I196" i="12"/>
  <c r="H197" i="12"/>
  <c r="N243" i="12"/>
  <c r="N244" i="12" s="1"/>
  <c r="O232" i="12"/>
  <c r="I199" i="12"/>
  <c r="J216" i="12"/>
  <c r="K263" i="12"/>
  <c r="K269" i="12"/>
  <c r="J272" i="12"/>
  <c r="L266" i="12"/>
  <c r="H200" i="12"/>
  <c r="J115" i="12"/>
  <c r="L172" i="12"/>
  <c r="H109" i="12"/>
  <c r="L175" i="12"/>
  <c r="K166" i="12"/>
  <c r="I108" i="12"/>
  <c r="J125" i="12"/>
  <c r="L178" i="12"/>
  <c r="K181" i="12"/>
  <c r="M155" i="12"/>
  <c r="L165" i="12"/>
  <c r="I106" i="12"/>
  <c r="J105" i="12"/>
  <c r="K120" i="12"/>
  <c r="M152" i="12"/>
  <c r="M153" i="12" s="1"/>
  <c r="N141" i="12"/>
  <c r="L68" i="4"/>
  <c r="H101" i="10"/>
  <c r="I94" i="10" s="1"/>
  <c r="O44" i="10"/>
  <c r="N45" i="10"/>
  <c r="J196" i="12" l="1"/>
  <c r="K211" i="12"/>
  <c r="M266" i="12"/>
  <c r="K257" i="12"/>
  <c r="O243" i="12"/>
  <c r="O244" i="12" s="1"/>
  <c r="P232" i="12"/>
  <c r="P243" i="12" s="1"/>
  <c r="L269" i="12"/>
  <c r="K272" i="12"/>
  <c r="L263" i="12"/>
  <c r="K206" i="12"/>
  <c r="M246" i="12"/>
  <c r="L256" i="12"/>
  <c r="I197" i="12"/>
  <c r="I200" i="12"/>
  <c r="J199" i="12"/>
  <c r="K216" i="12"/>
  <c r="K115" i="12"/>
  <c r="N152" i="12"/>
  <c r="N153" i="12" s="1"/>
  <c r="O141" i="12"/>
  <c r="J108" i="12"/>
  <c r="K125" i="12"/>
  <c r="N155" i="12"/>
  <c r="M165" i="12"/>
  <c r="L181" i="12"/>
  <c r="M178" i="12"/>
  <c r="M175" i="12"/>
  <c r="K105" i="12"/>
  <c r="L120" i="12"/>
  <c r="J106" i="12"/>
  <c r="I109" i="12"/>
  <c r="L166" i="12"/>
  <c r="M172" i="12"/>
  <c r="M68" i="4"/>
  <c r="O45" i="10"/>
  <c r="P44" i="10"/>
  <c r="P244" i="12" l="1"/>
  <c r="J200" i="12"/>
  <c r="M263" i="12"/>
  <c r="K196" i="12"/>
  <c r="L211" i="12"/>
  <c r="L272" i="12"/>
  <c r="M269" i="12"/>
  <c r="L257" i="12"/>
  <c r="N246" i="12"/>
  <c r="M256" i="12"/>
  <c r="J197" i="12"/>
  <c r="L216" i="12"/>
  <c r="K199" i="12"/>
  <c r="L206" i="12"/>
  <c r="N266" i="12"/>
  <c r="L115" i="12"/>
  <c r="J109" i="12"/>
  <c r="N175" i="12"/>
  <c r="M166" i="12"/>
  <c r="K106" i="12"/>
  <c r="O155" i="12"/>
  <c r="N165" i="12"/>
  <c r="L105" i="12"/>
  <c r="M120" i="12"/>
  <c r="M181" i="12"/>
  <c r="N178" i="12"/>
  <c r="N172" i="12"/>
  <c r="K108" i="12"/>
  <c r="L125" i="12"/>
  <c r="O152" i="12"/>
  <c r="O153" i="12" s="1"/>
  <c r="P141" i="12"/>
  <c r="P152" i="12" s="1"/>
  <c r="N68" i="4"/>
  <c r="P45" i="10"/>
  <c r="Q44" i="10"/>
  <c r="K200" i="12" l="1"/>
  <c r="K197" i="12"/>
  <c r="M272" i="12"/>
  <c r="N269" i="12"/>
  <c r="L196" i="12"/>
  <c r="M211" i="12"/>
  <c r="N263" i="12"/>
  <c r="O246" i="12"/>
  <c r="N256" i="12"/>
  <c r="M257" i="12"/>
  <c r="M216" i="12"/>
  <c r="L199" i="12"/>
  <c r="O266" i="12"/>
  <c r="M206" i="12"/>
  <c r="P153" i="12"/>
  <c r="M115" i="12"/>
  <c r="M105" i="12"/>
  <c r="N120" i="12"/>
  <c r="O172" i="12"/>
  <c r="M125" i="12"/>
  <c r="L108" i="12"/>
  <c r="K109" i="12"/>
  <c r="L106" i="12"/>
  <c r="N166" i="12"/>
  <c r="O175" i="12"/>
  <c r="P155" i="12"/>
  <c r="P165" i="12" s="1"/>
  <c r="O165" i="12"/>
  <c r="N181" i="12"/>
  <c r="O178" i="12"/>
  <c r="O68" i="4"/>
  <c r="R44" i="10"/>
  <c r="R45" i="10" s="1"/>
  <c r="Q45" i="10"/>
  <c r="N272" i="12" l="1"/>
  <c r="O269" i="12"/>
  <c r="L197" i="12"/>
  <c r="P246" i="12"/>
  <c r="P256" i="12" s="1"/>
  <c r="O256" i="12"/>
  <c r="O263" i="12"/>
  <c r="N257" i="12"/>
  <c r="L200" i="12"/>
  <c r="M196" i="12"/>
  <c r="N211" i="12"/>
  <c r="N206" i="12"/>
  <c r="P266" i="12"/>
  <c r="N216" i="12"/>
  <c r="M199" i="12"/>
  <c r="N115" i="12"/>
  <c r="O120" i="12"/>
  <c r="N105" i="12"/>
  <c r="O181" i="12"/>
  <c r="P178" i="12"/>
  <c r="M106" i="12"/>
  <c r="P166" i="12"/>
  <c r="L109" i="12"/>
  <c r="P172" i="12"/>
  <c r="O166" i="12"/>
  <c r="N125" i="12"/>
  <c r="M108" i="12"/>
  <c r="P175" i="12"/>
  <c r="P68" i="4"/>
  <c r="P263" i="12" l="1"/>
  <c r="O216" i="12"/>
  <c r="N199" i="12"/>
  <c r="O211" i="12"/>
  <c r="N196" i="12"/>
  <c r="M200" i="12"/>
  <c r="P257" i="12"/>
  <c r="P269" i="12"/>
  <c r="O272" i="12"/>
  <c r="O257" i="12"/>
  <c r="M197" i="12"/>
  <c r="O206" i="12"/>
  <c r="O115" i="12"/>
  <c r="O125" i="12"/>
  <c r="N108" i="12"/>
  <c r="M109" i="12"/>
  <c r="P181" i="12"/>
  <c r="N106" i="12"/>
  <c r="P120" i="12"/>
  <c r="O105" i="12"/>
  <c r="Q68" i="4"/>
  <c r="N200" i="12" l="1"/>
  <c r="P272" i="12"/>
  <c r="P216" i="12"/>
  <c r="O199" i="12"/>
  <c r="P211" i="12"/>
  <c r="O196" i="12"/>
  <c r="P206" i="12"/>
  <c r="N197" i="12"/>
  <c r="P115" i="12"/>
  <c r="P125" i="12"/>
  <c r="O108" i="12"/>
  <c r="P105" i="12"/>
  <c r="O106" i="12"/>
  <c r="N109" i="12"/>
  <c r="E26" i="10"/>
  <c r="F26" i="10"/>
  <c r="G26" i="10"/>
  <c r="H26" i="10"/>
  <c r="D18" i="10"/>
  <c r="E18" i="10"/>
  <c r="F18" i="10"/>
  <c r="G18" i="10"/>
  <c r="H18" i="10"/>
  <c r="D19" i="10"/>
  <c r="E19" i="10"/>
  <c r="F19" i="10"/>
  <c r="G19" i="10"/>
  <c r="H19" i="10"/>
  <c r="I19" i="10" s="1"/>
  <c r="J19" i="10" s="1"/>
  <c r="K19" i="10" s="1"/>
  <c r="L19" i="10" s="1"/>
  <c r="M19" i="10" s="1"/>
  <c r="N19" i="10" s="1"/>
  <c r="O19" i="10" s="1"/>
  <c r="P19" i="10" s="1"/>
  <c r="Q19" i="10" s="1"/>
  <c r="R19" i="10" s="1"/>
  <c r="H19" i="4"/>
  <c r="I19" i="4" s="1"/>
  <c r="J19" i="4" s="1"/>
  <c r="K19" i="4" s="1"/>
  <c r="H21" i="4"/>
  <c r="I21" i="4" s="1"/>
  <c r="J21" i="4" s="1"/>
  <c r="K21" i="4" s="1"/>
  <c r="L21" i="4" s="1"/>
  <c r="M21" i="4" s="1"/>
  <c r="N21" i="4" s="1"/>
  <c r="O21" i="4" s="1"/>
  <c r="P21" i="4" s="1"/>
  <c r="Q21" i="4" s="1"/>
  <c r="H22" i="4"/>
  <c r="I22" i="4" s="1"/>
  <c r="J22" i="4" s="1"/>
  <c r="K22" i="4" s="1"/>
  <c r="L22" i="4" s="1"/>
  <c r="M22" i="4" s="1"/>
  <c r="N22" i="4" s="1"/>
  <c r="O22" i="4" s="1"/>
  <c r="P22" i="4" s="1"/>
  <c r="Q22" i="4" s="1"/>
  <c r="O13" i="10"/>
  <c r="P13" i="10" s="1"/>
  <c r="Q13" i="10" s="1"/>
  <c r="R13" i="10" s="1"/>
  <c r="E10" i="10"/>
  <c r="E103" i="10" s="1"/>
  <c r="F10" i="10"/>
  <c r="F103" i="10" s="1"/>
  <c r="G10" i="10"/>
  <c r="G103" i="10" s="1"/>
  <c r="H10" i="10"/>
  <c r="H103" i="10" s="1"/>
  <c r="E11" i="10"/>
  <c r="F11" i="10"/>
  <c r="G11" i="10"/>
  <c r="H11" i="10"/>
  <c r="D11" i="10"/>
  <c r="D10" i="10"/>
  <c r="D103" i="10" s="1"/>
  <c r="H85" i="12"/>
  <c r="H60" i="12"/>
  <c r="G51" i="12"/>
  <c r="H51" i="12" s="1"/>
  <c r="I51" i="12" s="1"/>
  <c r="J51" i="12" s="1"/>
  <c r="K51" i="12" s="1"/>
  <c r="L51" i="12" s="1"/>
  <c r="M51" i="12" s="1"/>
  <c r="N51" i="12" s="1"/>
  <c r="O51" i="12" s="1"/>
  <c r="P51" i="12" s="1"/>
  <c r="G52" i="12"/>
  <c r="H52" i="12" s="1"/>
  <c r="I52" i="12" s="1"/>
  <c r="J52" i="12" s="1"/>
  <c r="K52" i="12" s="1"/>
  <c r="L52" i="12" s="1"/>
  <c r="M52" i="12" s="1"/>
  <c r="N52" i="12" s="1"/>
  <c r="O52" i="12" s="1"/>
  <c r="P52" i="12" s="1"/>
  <c r="G53" i="12"/>
  <c r="H53" i="12" s="1"/>
  <c r="I53" i="12" s="1"/>
  <c r="J53" i="12" s="1"/>
  <c r="K53" i="12" s="1"/>
  <c r="L53" i="12" s="1"/>
  <c r="M53" i="12" s="1"/>
  <c r="N53" i="12" s="1"/>
  <c r="O53" i="12" s="1"/>
  <c r="P53" i="12" s="1"/>
  <c r="G54" i="12"/>
  <c r="H54" i="12" s="1"/>
  <c r="I54" i="12" s="1"/>
  <c r="J54" i="12" s="1"/>
  <c r="K54" i="12" s="1"/>
  <c r="L54" i="12" s="1"/>
  <c r="M54" i="12" s="1"/>
  <c r="N54" i="12" s="1"/>
  <c r="O54" i="12" s="1"/>
  <c r="P54" i="12" s="1"/>
  <c r="G55" i="12"/>
  <c r="H55" i="12" s="1"/>
  <c r="I55" i="12" s="1"/>
  <c r="J55" i="12" s="1"/>
  <c r="K55" i="12" s="1"/>
  <c r="L55" i="12" s="1"/>
  <c r="M55" i="12" s="1"/>
  <c r="N55" i="12" s="1"/>
  <c r="O55" i="12" s="1"/>
  <c r="P55" i="12" s="1"/>
  <c r="G56" i="12"/>
  <c r="H56" i="12" s="1"/>
  <c r="I56" i="12" s="1"/>
  <c r="J56" i="12" s="1"/>
  <c r="K56" i="12" s="1"/>
  <c r="L56" i="12" s="1"/>
  <c r="M56" i="12" s="1"/>
  <c r="N56" i="12" s="1"/>
  <c r="O56" i="12" s="1"/>
  <c r="P56" i="12" s="1"/>
  <c r="G57" i="12"/>
  <c r="H57" i="12" s="1"/>
  <c r="I57" i="12" s="1"/>
  <c r="J57" i="12" s="1"/>
  <c r="K57" i="12" s="1"/>
  <c r="L57" i="12" s="1"/>
  <c r="M57" i="12" s="1"/>
  <c r="N57" i="12" s="1"/>
  <c r="O57" i="12" s="1"/>
  <c r="P57" i="12" s="1"/>
  <c r="G58" i="12"/>
  <c r="H58" i="12" s="1"/>
  <c r="I58" i="12" s="1"/>
  <c r="J58" i="12" s="1"/>
  <c r="K58" i="12" s="1"/>
  <c r="L58" i="12" s="1"/>
  <c r="M58" i="12" s="1"/>
  <c r="N58" i="12" s="1"/>
  <c r="O58" i="12" s="1"/>
  <c r="P58" i="12" s="1"/>
  <c r="G59" i="12"/>
  <c r="H59" i="12" s="1"/>
  <c r="I59" i="12" s="1"/>
  <c r="J59" i="12" s="1"/>
  <c r="K59" i="12" s="1"/>
  <c r="L59" i="12" s="1"/>
  <c r="M59" i="12" s="1"/>
  <c r="N59" i="12" s="1"/>
  <c r="O59" i="12" s="1"/>
  <c r="P59" i="12" s="1"/>
  <c r="G50" i="12"/>
  <c r="G65" i="12"/>
  <c r="H65" i="12" s="1"/>
  <c r="I65" i="12" s="1"/>
  <c r="J65" i="12" s="1"/>
  <c r="K65" i="12" s="1"/>
  <c r="L65" i="12" s="1"/>
  <c r="M65" i="12" s="1"/>
  <c r="N65" i="12" s="1"/>
  <c r="O65" i="12" s="1"/>
  <c r="P65" i="12" s="1"/>
  <c r="G66" i="12"/>
  <c r="H66" i="12" s="1"/>
  <c r="I66" i="12" s="1"/>
  <c r="J66" i="12" s="1"/>
  <c r="K66" i="12" s="1"/>
  <c r="L66" i="12" s="1"/>
  <c r="M66" i="12" s="1"/>
  <c r="N66" i="12" s="1"/>
  <c r="O66" i="12" s="1"/>
  <c r="P66" i="12" s="1"/>
  <c r="G67" i="12"/>
  <c r="H67" i="12" s="1"/>
  <c r="I67" i="12" s="1"/>
  <c r="J67" i="12" s="1"/>
  <c r="K67" i="12" s="1"/>
  <c r="L67" i="12" s="1"/>
  <c r="M67" i="12" s="1"/>
  <c r="N67" i="12" s="1"/>
  <c r="O67" i="12" s="1"/>
  <c r="P67" i="12" s="1"/>
  <c r="G68" i="12"/>
  <c r="H68" i="12" s="1"/>
  <c r="I68" i="12" s="1"/>
  <c r="J68" i="12" s="1"/>
  <c r="K68" i="12" s="1"/>
  <c r="L68" i="12" s="1"/>
  <c r="M68" i="12" s="1"/>
  <c r="N68" i="12" s="1"/>
  <c r="O68" i="12" s="1"/>
  <c r="P68" i="12" s="1"/>
  <c r="G69" i="12"/>
  <c r="H69" i="12" s="1"/>
  <c r="I69" i="12" s="1"/>
  <c r="J69" i="12" s="1"/>
  <c r="K69" i="12" s="1"/>
  <c r="L69" i="12" s="1"/>
  <c r="M69" i="12" s="1"/>
  <c r="N69" i="12" s="1"/>
  <c r="O69" i="12" s="1"/>
  <c r="P69" i="12" s="1"/>
  <c r="G70" i="12"/>
  <c r="H70" i="12" s="1"/>
  <c r="I70" i="12" s="1"/>
  <c r="J70" i="12" s="1"/>
  <c r="K70" i="12" s="1"/>
  <c r="L70" i="12" s="1"/>
  <c r="M70" i="12" s="1"/>
  <c r="N70" i="12" s="1"/>
  <c r="O70" i="12" s="1"/>
  <c r="P70" i="12" s="1"/>
  <c r="G71" i="12"/>
  <c r="H71" i="12" s="1"/>
  <c r="I71" i="12" s="1"/>
  <c r="J71" i="12" s="1"/>
  <c r="K71" i="12" s="1"/>
  <c r="L71" i="12" s="1"/>
  <c r="M71" i="12" s="1"/>
  <c r="N71" i="12" s="1"/>
  <c r="O71" i="12" s="1"/>
  <c r="P71" i="12" s="1"/>
  <c r="G72" i="12"/>
  <c r="H72" i="12" s="1"/>
  <c r="I72" i="12" s="1"/>
  <c r="J72" i="12" s="1"/>
  <c r="K72" i="12" s="1"/>
  <c r="L72" i="12" s="1"/>
  <c r="M72" i="12" s="1"/>
  <c r="N72" i="12" s="1"/>
  <c r="O72" i="12" s="1"/>
  <c r="P72" i="12" s="1"/>
  <c r="G64" i="12"/>
  <c r="H64" i="12" s="1"/>
  <c r="I64" i="12" s="1"/>
  <c r="J64" i="12" s="1"/>
  <c r="K64" i="12" s="1"/>
  <c r="L64" i="12" s="1"/>
  <c r="M64" i="12" s="1"/>
  <c r="N64" i="12" s="1"/>
  <c r="O64" i="12" s="1"/>
  <c r="P64" i="12" s="1"/>
  <c r="H73" i="12"/>
  <c r="I73" i="12" s="1"/>
  <c r="J73" i="12" s="1"/>
  <c r="K73" i="12" s="1"/>
  <c r="L73" i="12" s="1"/>
  <c r="M73" i="12" s="1"/>
  <c r="N73" i="12" s="1"/>
  <c r="O73" i="12" s="1"/>
  <c r="P73" i="12" s="1"/>
  <c r="H28" i="12"/>
  <c r="I28" i="12" s="1"/>
  <c r="J28" i="12" s="1"/>
  <c r="K28" i="12" s="1"/>
  <c r="L28" i="12" s="1"/>
  <c r="M28" i="12" s="1"/>
  <c r="N28" i="12" s="1"/>
  <c r="O28" i="12" s="1"/>
  <c r="P28" i="12" s="1"/>
  <c r="D48" i="12"/>
  <c r="E48" i="12"/>
  <c r="C48" i="12"/>
  <c r="F48" i="12"/>
  <c r="G48" i="12" s="1"/>
  <c r="F88" i="12"/>
  <c r="G88" i="12" s="1"/>
  <c r="H88" i="12" s="1"/>
  <c r="I88" i="12" s="1"/>
  <c r="J88" i="12" s="1"/>
  <c r="K88" i="12" s="1"/>
  <c r="L88" i="12" s="1"/>
  <c r="M88" i="12" s="1"/>
  <c r="N88" i="12" s="1"/>
  <c r="O88" i="12" s="1"/>
  <c r="P88" i="12" s="1"/>
  <c r="E88" i="12"/>
  <c r="D88" i="12"/>
  <c r="C88" i="12"/>
  <c r="F85" i="12"/>
  <c r="E85" i="12"/>
  <c r="D85" i="12"/>
  <c r="C85" i="12"/>
  <c r="D82" i="12"/>
  <c r="E82" i="12"/>
  <c r="F82" i="12"/>
  <c r="G82" i="12" s="1"/>
  <c r="H82" i="12" s="1"/>
  <c r="I82" i="12" s="1"/>
  <c r="J82" i="12" s="1"/>
  <c r="K82" i="12" s="1"/>
  <c r="L82" i="12" s="1"/>
  <c r="M82" i="12" s="1"/>
  <c r="N82" i="12" s="1"/>
  <c r="O82" i="12" s="1"/>
  <c r="P82" i="12" s="1"/>
  <c r="C82" i="12"/>
  <c r="D15" i="12"/>
  <c r="C15" i="12"/>
  <c r="C9" i="12"/>
  <c r="D9" i="12"/>
  <c r="B9" i="12"/>
  <c r="C29" i="12"/>
  <c r="D29" i="12"/>
  <c r="B29" i="12"/>
  <c r="F29" i="12"/>
  <c r="E29" i="12"/>
  <c r="B2" i="13"/>
  <c r="F18" i="12"/>
  <c r="E18" i="12"/>
  <c r="D18" i="12"/>
  <c r="F15" i="12"/>
  <c r="E15" i="12"/>
  <c r="F12" i="12"/>
  <c r="C19" i="12"/>
  <c r="D20" i="12"/>
  <c r="D16" i="12" s="1"/>
  <c r="E20" i="12"/>
  <c r="E13" i="12" s="1"/>
  <c r="F20" i="12"/>
  <c r="F13" i="12" s="1"/>
  <c r="B83" i="12"/>
  <c r="C74" i="12"/>
  <c r="D74" i="12"/>
  <c r="E74" i="12"/>
  <c r="F74" i="12"/>
  <c r="B74" i="12"/>
  <c r="C61" i="12"/>
  <c r="D61" i="12"/>
  <c r="B61" i="12"/>
  <c r="F61" i="12"/>
  <c r="E61" i="12"/>
  <c r="C44" i="12"/>
  <c r="D44" i="12"/>
  <c r="E44" i="12"/>
  <c r="E24" i="12" s="1"/>
  <c r="F44" i="12"/>
  <c r="F24" i="12" s="1"/>
  <c r="B44" i="12"/>
  <c r="G6" i="12"/>
  <c r="H6" i="12" s="1"/>
  <c r="I6" i="12" s="1"/>
  <c r="J6" i="12" s="1"/>
  <c r="K6" i="12" s="1"/>
  <c r="L6" i="12" s="1"/>
  <c r="M6" i="12" s="1"/>
  <c r="N6" i="12" s="1"/>
  <c r="O6" i="12" s="1"/>
  <c r="P6" i="12" s="1"/>
  <c r="B6" i="12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A2" i="12"/>
  <c r="B213" i="12" l="1"/>
  <c r="B208" i="12"/>
  <c r="B218" i="12"/>
  <c r="P196" i="12"/>
  <c r="O200" i="12"/>
  <c r="P199" i="12"/>
  <c r="O197" i="12"/>
  <c r="B122" i="12"/>
  <c r="B127" i="12"/>
  <c r="B117" i="12"/>
  <c r="P106" i="12"/>
  <c r="O109" i="12"/>
  <c r="P108" i="12"/>
  <c r="I85" i="12"/>
  <c r="G61" i="12"/>
  <c r="H50" i="12"/>
  <c r="D82" i="10"/>
  <c r="D36" i="10"/>
  <c r="D37" i="10" s="1"/>
  <c r="D44" i="10"/>
  <c r="D45" i="10" s="1"/>
  <c r="D52" i="10"/>
  <c r="D53" i="10" s="1"/>
  <c r="F82" i="10"/>
  <c r="F44" i="10"/>
  <c r="F45" i="10" s="1"/>
  <c r="F36" i="10"/>
  <c r="F37" i="10" s="1"/>
  <c r="F52" i="10"/>
  <c r="F53" i="10" s="1"/>
  <c r="G82" i="10"/>
  <c r="G36" i="10"/>
  <c r="G37" i="10" s="1"/>
  <c r="G44" i="10"/>
  <c r="G45" i="10" s="1"/>
  <c r="G52" i="10"/>
  <c r="G53" i="10" s="1"/>
  <c r="E36" i="10"/>
  <c r="E37" i="10" s="1"/>
  <c r="E52" i="10"/>
  <c r="E53" i="10" s="1"/>
  <c r="E44" i="10"/>
  <c r="E45" i="10" s="1"/>
  <c r="H52" i="10"/>
  <c r="H44" i="10"/>
  <c r="H45" i="10" s="1"/>
  <c r="H36" i="10"/>
  <c r="H37" i="10" s="1"/>
  <c r="D12" i="10"/>
  <c r="H12" i="10"/>
  <c r="H17" i="10" s="1"/>
  <c r="H20" i="10" s="1"/>
  <c r="H21" i="10" s="1"/>
  <c r="F12" i="10"/>
  <c r="F17" i="10" s="1"/>
  <c r="F20" i="10" s="1"/>
  <c r="F21" i="10" s="1"/>
  <c r="G12" i="10"/>
  <c r="G17" i="10" s="1"/>
  <c r="G20" i="10" s="1"/>
  <c r="G21" i="10" s="1"/>
  <c r="L19" i="4"/>
  <c r="E12" i="10"/>
  <c r="E17" i="10" s="1"/>
  <c r="E20" i="10" s="1"/>
  <c r="E21" i="10" s="1"/>
  <c r="B31" i="12"/>
  <c r="H84" i="12"/>
  <c r="G87" i="12"/>
  <c r="G81" i="12"/>
  <c r="F28" i="12"/>
  <c r="F75" i="12"/>
  <c r="F21" i="12"/>
  <c r="D21" i="12"/>
  <c r="E21" i="12"/>
  <c r="I60" i="12"/>
  <c r="G74" i="12"/>
  <c r="G75" i="12" s="1"/>
  <c r="D62" i="12"/>
  <c r="D45" i="12"/>
  <c r="D75" i="12"/>
  <c r="E75" i="12"/>
  <c r="E62" i="12"/>
  <c r="C75" i="12"/>
  <c r="F62" i="12"/>
  <c r="C62" i="12"/>
  <c r="D33" i="12"/>
  <c r="C45" i="12"/>
  <c r="C33" i="12"/>
  <c r="F45" i="12"/>
  <c r="G45" i="12" s="1"/>
  <c r="F33" i="12"/>
  <c r="G33" i="12" s="1"/>
  <c r="E33" i="12"/>
  <c r="E45" i="12"/>
  <c r="G24" i="12"/>
  <c r="G47" i="12"/>
  <c r="H48" i="12"/>
  <c r="F34" i="12"/>
  <c r="E34" i="12"/>
  <c r="D34" i="12"/>
  <c r="F90" i="12"/>
  <c r="C34" i="12"/>
  <c r="B30" i="12"/>
  <c r="B34" i="12"/>
  <c r="E90" i="12"/>
  <c r="D13" i="12"/>
  <c r="D90" i="12"/>
  <c r="B89" i="12"/>
  <c r="C13" i="12"/>
  <c r="C90" i="12"/>
  <c r="B13" i="12"/>
  <c r="C24" i="12"/>
  <c r="C12" i="12"/>
  <c r="E12" i="12"/>
  <c r="D12" i="12"/>
  <c r="C16" i="12"/>
  <c r="B24" i="12"/>
  <c r="D24" i="12"/>
  <c r="B16" i="12"/>
  <c r="F16" i="12"/>
  <c r="E16" i="12"/>
  <c r="F19" i="12"/>
  <c r="E19" i="12"/>
  <c r="B19" i="12"/>
  <c r="D19" i="12"/>
  <c r="B77" i="12"/>
  <c r="F77" i="12"/>
  <c r="D77" i="12"/>
  <c r="E77" i="12"/>
  <c r="C77" i="12"/>
  <c r="E265" i="12" l="1"/>
  <c r="E268" i="12"/>
  <c r="E271" i="12"/>
  <c r="D265" i="12"/>
  <c r="D268" i="12"/>
  <c r="D271" i="12"/>
  <c r="G225" i="12"/>
  <c r="G224" i="12"/>
  <c r="G223" i="12"/>
  <c r="F265" i="12"/>
  <c r="F268" i="12"/>
  <c r="F271" i="12"/>
  <c r="C265" i="12"/>
  <c r="C268" i="12"/>
  <c r="C271" i="12"/>
  <c r="B214" i="12"/>
  <c r="B209" i="12"/>
  <c r="B219" i="12"/>
  <c r="P197" i="12"/>
  <c r="P200" i="12"/>
  <c r="D86" i="12"/>
  <c r="D177" i="12"/>
  <c r="D174" i="12"/>
  <c r="D180" i="12"/>
  <c r="B32" i="12"/>
  <c r="B123" i="12"/>
  <c r="B118" i="12"/>
  <c r="B128" i="12"/>
  <c r="G90" i="12"/>
  <c r="G134" i="12"/>
  <c r="G133" i="12"/>
  <c r="G132" i="12"/>
  <c r="C86" i="12"/>
  <c r="C177" i="12"/>
  <c r="C174" i="12"/>
  <c r="C180" i="12"/>
  <c r="F89" i="12"/>
  <c r="F86" i="12"/>
  <c r="F177" i="12"/>
  <c r="F174" i="12"/>
  <c r="F180" i="12"/>
  <c r="E86" i="12"/>
  <c r="E177" i="12"/>
  <c r="E174" i="12"/>
  <c r="E180" i="12"/>
  <c r="P109" i="12"/>
  <c r="J85" i="12"/>
  <c r="I50" i="12"/>
  <c r="H61" i="12"/>
  <c r="H62" i="12" s="1"/>
  <c r="G62" i="12"/>
  <c r="H33" i="12"/>
  <c r="I48" i="12"/>
  <c r="H53" i="10"/>
  <c r="I52" i="10"/>
  <c r="D13" i="10"/>
  <c r="D17" i="10"/>
  <c r="D20" i="10" s="1"/>
  <c r="D21" i="10" s="1"/>
  <c r="G13" i="10"/>
  <c r="E13" i="10"/>
  <c r="H13" i="10"/>
  <c r="F13" i="10"/>
  <c r="M19" i="4"/>
  <c r="B27" i="12"/>
  <c r="H87" i="12"/>
  <c r="I87" i="12" s="1"/>
  <c r="B35" i="12"/>
  <c r="B37" i="12"/>
  <c r="B36" i="12"/>
  <c r="H81" i="12"/>
  <c r="I84" i="12"/>
  <c r="B26" i="12"/>
  <c r="B25" i="12"/>
  <c r="J60" i="12"/>
  <c r="I74" i="12"/>
  <c r="H74" i="12"/>
  <c r="J74" i="12"/>
  <c r="G29" i="12"/>
  <c r="H45" i="12"/>
  <c r="I45" i="12" s="1"/>
  <c r="J45" i="12" s="1"/>
  <c r="K45" i="12" s="1"/>
  <c r="L45" i="12" s="1"/>
  <c r="M45" i="12" s="1"/>
  <c r="N45" i="12" s="1"/>
  <c r="O45" i="12" s="1"/>
  <c r="P45" i="12" s="1"/>
  <c r="G43" i="12"/>
  <c r="G41" i="12"/>
  <c r="G42" i="12"/>
  <c r="C38" i="12"/>
  <c r="H24" i="12"/>
  <c r="C28" i="12"/>
  <c r="D38" i="12"/>
  <c r="E38" i="12"/>
  <c r="F38" i="12"/>
  <c r="G38" i="12" s="1"/>
  <c r="E28" i="12"/>
  <c r="D28" i="12"/>
  <c r="E78" i="12"/>
  <c r="H47" i="12"/>
  <c r="F83" i="12"/>
  <c r="D78" i="12"/>
  <c r="E83" i="12"/>
  <c r="E89" i="12"/>
  <c r="F78" i="12"/>
  <c r="C89" i="12"/>
  <c r="C83" i="12"/>
  <c r="D89" i="12"/>
  <c r="D83" i="12"/>
  <c r="C78" i="12"/>
  <c r="H223" i="12" l="1"/>
  <c r="G226" i="12"/>
  <c r="D214" i="12"/>
  <c r="D219" i="12"/>
  <c r="D209" i="12"/>
  <c r="H224" i="12"/>
  <c r="I224" i="12" s="1"/>
  <c r="J224" i="12" s="1"/>
  <c r="K224" i="12" s="1"/>
  <c r="L224" i="12" s="1"/>
  <c r="M224" i="12" s="1"/>
  <c r="N224" i="12" s="1"/>
  <c r="O224" i="12" s="1"/>
  <c r="P224" i="12" s="1"/>
  <c r="H225" i="12"/>
  <c r="I225" i="12" s="1"/>
  <c r="J225" i="12" s="1"/>
  <c r="K225" i="12" s="1"/>
  <c r="L225" i="12" s="1"/>
  <c r="M225" i="12" s="1"/>
  <c r="N225" i="12" s="1"/>
  <c r="O225" i="12" s="1"/>
  <c r="P225" i="12" s="1"/>
  <c r="D213" i="12"/>
  <c r="D218" i="12"/>
  <c r="D208" i="12"/>
  <c r="F37" i="12"/>
  <c r="F214" i="12"/>
  <c r="F219" i="12"/>
  <c r="F209" i="12"/>
  <c r="E35" i="12"/>
  <c r="E217" i="12"/>
  <c r="E207" i="12"/>
  <c r="E212" i="12"/>
  <c r="E214" i="12"/>
  <c r="E209" i="12"/>
  <c r="E219" i="12"/>
  <c r="C214" i="12"/>
  <c r="C219" i="12"/>
  <c r="C209" i="12"/>
  <c r="E208" i="12"/>
  <c r="E213" i="12"/>
  <c r="E218" i="12"/>
  <c r="C213" i="12"/>
  <c r="C218" i="12"/>
  <c r="C208" i="12"/>
  <c r="G268" i="12"/>
  <c r="G271" i="12"/>
  <c r="G265" i="12"/>
  <c r="F217" i="12"/>
  <c r="F212" i="12"/>
  <c r="F207" i="12"/>
  <c r="F213" i="12"/>
  <c r="F218" i="12"/>
  <c r="F208" i="12"/>
  <c r="C212" i="12"/>
  <c r="C217" i="12"/>
  <c r="C207" i="12"/>
  <c r="D30" i="12"/>
  <c r="D212" i="12"/>
  <c r="D207" i="12"/>
  <c r="D217" i="12"/>
  <c r="H134" i="12"/>
  <c r="I134" i="12" s="1"/>
  <c r="J134" i="12" s="1"/>
  <c r="K134" i="12" s="1"/>
  <c r="L134" i="12" s="1"/>
  <c r="M134" i="12" s="1"/>
  <c r="N134" i="12" s="1"/>
  <c r="O134" i="12" s="1"/>
  <c r="P134" i="12" s="1"/>
  <c r="F123" i="12"/>
  <c r="F128" i="12"/>
  <c r="F118" i="12"/>
  <c r="E126" i="12"/>
  <c r="E121" i="12"/>
  <c r="E116" i="12"/>
  <c r="E128" i="12"/>
  <c r="E123" i="12"/>
  <c r="E118" i="12"/>
  <c r="H90" i="12"/>
  <c r="F117" i="12"/>
  <c r="F122" i="12"/>
  <c r="F127" i="12"/>
  <c r="D36" i="12"/>
  <c r="D122" i="12"/>
  <c r="D127" i="12"/>
  <c r="D117" i="12"/>
  <c r="D32" i="12"/>
  <c r="D123" i="12"/>
  <c r="D128" i="12"/>
  <c r="D118" i="12"/>
  <c r="C32" i="12"/>
  <c r="C123" i="12"/>
  <c r="C118" i="12"/>
  <c r="C128" i="12"/>
  <c r="G135" i="12"/>
  <c r="H133" i="12"/>
  <c r="I133" i="12" s="1"/>
  <c r="J133" i="12" s="1"/>
  <c r="K133" i="12" s="1"/>
  <c r="L133" i="12" s="1"/>
  <c r="M133" i="12" s="1"/>
  <c r="N133" i="12" s="1"/>
  <c r="O133" i="12" s="1"/>
  <c r="P133" i="12" s="1"/>
  <c r="C36" i="12"/>
  <c r="C117" i="12"/>
  <c r="C122" i="12"/>
  <c r="C127" i="12"/>
  <c r="G89" i="12"/>
  <c r="G174" i="12"/>
  <c r="G177" i="12"/>
  <c r="G180" i="12"/>
  <c r="E122" i="12"/>
  <c r="E127" i="12"/>
  <c r="E117" i="12"/>
  <c r="F121" i="12"/>
  <c r="F116" i="12"/>
  <c r="F126" i="12"/>
  <c r="H29" i="12"/>
  <c r="F32" i="12"/>
  <c r="C116" i="12"/>
  <c r="C121" i="12"/>
  <c r="C126" i="12"/>
  <c r="C30" i="12"/>
  <c r="F27" i="12"/>
  <c r="H132" i="12"/>
  <c r="D121" i="12"/>
  <c r="D126" i="12"/>
  <c r="D116" i="12"/>
  <c r="K85" i="12"/>
  <c r="J50" i="12"/>
  <c r="I61" i="12"/>
  <c r="I62" i="12" s="1"/>
  <c r="I33" i="12"/>
  <c r="I47" i="12"/>
  <c r="J48" i="12"/>
  <c r="J52" i="10"/>
  <c r="I53" i="10"/>
  <c r="D37" i="12"/>
  <c r="N19" i="4"/>
  <c r="E32" i="12"/>
  <c r="E27" i="12"/>
  <c r="C27" i="12"/>
  <c r="E26" i="12"/>
  <c r="E31" i="12"/>
  <c r="F26" i="12"/>
  <c r="F31" i="12"/>
  <c r="F36" i="12"/>
  <c r="C37" i="12"/>
  <c r="D26" i="12"/>
  <c r="D31" i="12"/>
  <c r="E36" i="12"/>
  <c r="E37" i="12"/>
  <c r="C26" i="12"/>
  <c r="C31" i="12"/>
  <c r="G14" i="12"/>
  <c r="G15" i="12" s="1"/>
  <c r="D27" i="12"/>
  <c r="G86" i="12"/>
  <c r="G83" i="12"/>
  <c r="I81" i="12"/>
  <c r="J87" i="12"/>
  <c r="J84" i="12"/>
  <c r="C35" i="12"/>
  <c r="E30" i="12"/>
  <c r="E25" i="12"/>
  <c r="D35" i="12"/>
  <c r="C25" i="12"/>
  <c r="F30" i="12"/>
  <c r="F25" i="12"/>
  <c r="D25" i="12"/>
  <c r="F35" i="12"/>
  <c r="H42" i="12"/>
  <c r="I42" i="12" s="1"/>
  <c r="J42" i="12" s="1"/>
  <c r="K42" i="12" s="1"/>
  <c r="L42" i="12" s="1"/>
  <c r="M42" i="12" s="1"/>
  <c r="N42" i="12" s="1"/>
  <c r="O42" i="12" s="1"/>
  <c r="P42" i="12" s="1"/>
  <c r="H75" i="12"/>
  <c r="K60" i="12"/>
  <c r="J75" i="12"/>
  <c r="I75" i="12"/>
  <c r="K74" i="12"/>
  <c r="K75" i="12" s="1"/>
  <c r="H43" i="12"/>
  <c r="I43" i="12" s="1"/>
  <c r="J43" i="12" s="1"/>
  <c r="K43" i="12" s="1"/>
  <c r="L43" i="12" s="1"/>
  <c r="M43" i="12" s="1"/>
  <c r="N43" i="12" s="1"/>
  <c r="O43" i="12" s="1"/>
  <c r="P43" i="12" s="1"/>
  <c r="I24" i="12"/>
  <c r="G44" i="12"/>
  <c r="H41" i="12"/>
  <c r="G34" i="12"/>
  <c r="H38" i="12"/>
  <c r="I38" i="12" s="1"/>
  <c r="J38" i="12" s="1"/>
  <c r="K38" i="12" s="1"/>
  <c r="L38" i="12" s="1"/>
  <c r="M38" i="12" s="1"/>
  <c r="N38" i="12" s="1"/>
  <c r="O38" i="12" s="1"/>
  <c r="P38" i="12" s="1"/>
  <c r="I29" i="12"/>
  <c r="H14" i="12"/>
  <c r="H268" i="12" l="1"/>
  <c r="H265" i="12"/>
  <c r="H271" i="12"/>
  <c r="G209" i="12"/>
  <c r="G219" i="12"/>
  <c r="G214" i="12"/>
  <c r="G212" i="12"/>
  <c r="G207" i="12"/>
  <c r="G217" i="12"/>
  <c r="G259" i="12"/>
  <c r="G260" i="12" s="1"/>
  <c r="G191" i="12"/>
  <c r="G213" i="12"/>
  <c r="G208" i="12"/>
  <c r="G218" i="12"/>
  <c r="H226" i="12"/>
  <c r="I223" i="12"/>
  <c r="G123" i="12"/>
  <c r="G118" i="12"/>
  <c r="G128" i="12"/>
  <c r="G122" i="12"/>
  <c r="G117" i="12"/>
  <c r="G127" i="12"/>
  <c r="G121" i="12"/>
  <c r="G116" i="12"/>
  <c r="G126" i="12"/>
  <c r="H89" i="12"/>
  <c r="H180" i="12"/>
  <c r="H177" i="12"/>
  <c r="H174" i="12"/>
  <c r="I132" i="12"/>
  <c r="H135" i="12"/>
  <c r="G168" i="12"/>
  <c r="G169" i="12" s="1"/>
  <c r="G100" i="12"/>
  <c r="L85" i="12"/>
  <c r="G17" i="12"/>
  <c r="K50" i="12"/>
  <c r="J61" i="12"/>
  <c r="J33" i="12"/>
  <c r="J29" i="12" s="1"/>
  <c r="J47" i="12"/>
  <c r="K48" i="12"/>
  <c r="K52" i="10"/>
  <c r="J53" i="10"/>
  <c r="O19" i="4"/>
  <c r="G36" i="12"/>
  <c r="G31" i="12"/>
  <c r="G26" i="12"/>
  <c r="G37" i="12"/>
  <c r="G27" i="12"/>
  <c r="G32" i="12"/>
  <c r="G35" i="12"/>
  <c r="G30" i="12"/>
  <c r="G25" i="12"/>
  <c r="H83" i="12"/>
  <c r="H86" i="12"/>
  <c r="I90" i="12"/>
  <c r="J81" i="12"/>
  <c r="K87" i="12"/>
  <c r="K84" i="12"/>
  <c r="G9" i="12"/>
  <c r="G12" i="12" s="1"/>
  <c r="G77" i="12"/>
  <c r="G78" i="12" s="1"/>
  <c r="L60" i="12"/>
  <c r="L74" i="12"/>
  <c r="L75" i="12" s="1"/>
  <c r="H34" i="12"/>
  <c r="H44" i="12"/>
  <c r="I41" i="12"/>
  <c r="J24" i="12"/>
  <c r="H15" i="12"/>
  <c r="I14" i="12"/>
  <c r="H217" i="12" l="1"/>
  <c r="H207" i="12"/>
  <c r="H212" i="12"/>
  <c r="H218" i="12"/>
  <c r="H208" i="12"/>
  <c r="H213" i="12"/>
  <c r="G195" i="12"/>
  <c r="G194" i="12"/>
  <c r="G202" i="12"/>
  <c r="G203" i="12" s="1"/>
  <c r="J223" i="12"/>
  <c r="I226" i="12"/>
  <c r="H259" i="12"/>
  <c r="H260" i="12" s="1"/>
  <c r="H191" i="12"/>
  <c r="H219" i="12"/>
  <c r="H214" i="12"/>
  <c r="H209" i="12"/>
  <c r="I268" i="12"/>
  <c r="I271" i="12"/>
  <c r="I265" i="12"/>
  <c r="K47" i="12"/>
  <c r="H123" i="12"/>
  <c r="H128" i="12"/>
  <c r="H118" i="12"/>
  <c r="H122" i="12"/>
  <c r="H127" i="12"/>
  <c r="H117" i="12"/>
  <c r="H121" i="12"/>
  <c r="H116" i="12"/>
  <c r="H126" i="12"/>
  <c r="I83" i="12"/>
  <c r="I177" i="12"/>
  <c r="I180" i="12"/>
  <c r="I174" i="12"/>
  <c r="G103" i="12"/>
  <c r="G111" i="12"/>
  <c r="G112" i="12" s="1"/>
  <c r="H168" i="12"/>
  <c r="H169" i="12" s="1"/>
  <c r="H100" i="12"/>
  <c r="J132" i="12"/>
  <c r="I135" i="12"/>
  <c r="M85" i="12"/>
  <c r="J62" i="12"/>
  <c r="L50" i="12"/>
  <c r="K61" i="12"/>
  <c r="K33" i="12"/>
  <c r="K29" i="12" s="1"/>
  <c r="L48" i="12"/>
  <c r="K53" i="10"/>
  <c r="L52" i="10"/>
  <c r="P19" i="4"/>
  <c r="H35" i="12"/>
  <c r="H30" i="12"/>
  <c r="H25" i="12"/>
  <c r="H37" i="12"/>
  <c r="H27" i="12"/>
  <c r="H32" i="12"/>
  <c r="H31" i="12"/>
  <c r="H36" i="12"/>
  <c r="H26" i="12"/>
  <c r="I86" i="12"/>
  <c r="I89" i="12"/>
  <c r="J90" i="12"/>
  <c r="K81" i="12"/>
  <c r="L87" i="12"/>
  <c r="L84" i="12"/>
  <c r="H9" i="12"/>
  <c r="H77" i="12"/>
  <c r="H78" i="12" s="1"/>
  <c r="M60" i="12"/>
  <c r="M74" i="12"/>
  <c r="M75" i="12" s="1"/>
  <c r="K24" i="12"/>
  <c r="I44" i="12"/>
  <c r="J41" i="12"/>
  <c r="G18" i="12"/>
  <c r="G20" i="12"/>
  <c r="I34" i="12"/>
  <c r="H17" i="12"/>
  <c r="I15" i="12"/>
  <c r="J14" i="12"/>
  <c r="I214" i="12" l="1"/>
  <c r="I209" i="12"/>
  <c r="I219" i="12"/>
  <c r="I212" i="12"/>
  <c r="I207" i="12"/>
  <c r="I217" i="12"/>
  <c r="I213" i="12"/>
  <c r="I208" i="12"/>
  <c r="I218" i="12"/>
  <c r="I259" i="12"/>
  <c r="I260" i="12" s="1"/>
  <c r="I191" i="12"/>
  <c r="K223" i="12"/>
  <c r="J226" i="12"/>
  <c r="G201" i="12"/>
  <c r="G198" i="12"/>
  <c r="J268" i="12"/>
  <c r="J265" i="12"/>
  <c r="J271" i="12"/>
  <c r="H194" i="12"/>
  <c r="H202" i="12"/>
  <c r="I168" i="12"/>
  <c r="I169" i="12" s="1"/>
  <c r="I100" i="12"/>
  <c r="I122" i="12"/>
  <c r="I117" i="12"/>
  <c r="I127" i="12"/>
  <c r="G107" i="12"/>
  <c r="G110" i="12"/>
  <c r="I26" i="12"/>
  <c r="J180" i="12"/>
  <c r="J177" i="12"/>
  <c r="J174" i="12"/>
  <c r="I31" i="12"/>
  <c r="I123" i="12"/>
  <c r="I118" i="12"/>
  <c r="I128" i="12"/>
  <c r="K132" i="12"/>
  <c r="J135" i="12"/>
  <c r="I121" i="12"/>
  <c r="I126" i="12"/>
  <c r="I116" i="12"/>
  <c r="H103" i="12"/>
  <c r="H111" i="12"/>
  <c r="G104" i="12"/>
  <c r="N85" i="12"/>
  <c r="K62" i="12"/>
  <c r="I36" i="12"/>
  <c r="M50" i="12"/>
  <c r="L61" i="12"/>
  <c r="L33" i="12"/>
  <c r="L29" i="12" s="1"/>
  <c r="M48" i="12"/>
  <c r="L47" i="12"/>
  <c r="H10" i="4"/>
  <c r="H12" i="12"/>
  <c r="H20" i="12"/>
  <c r="M52" i="10"/>
  <c r="L53" i="10"/>
  <c r="Q19" i="4"/>
  <c r="I37" i="12"/>
  <c r="I27" i="12"/>
  <c r="I32" i="12"/>
  <c r="I35" i="12"/>
  <c r="I30" i="12"/>
  <c r="I25" i="12"/>
  <c r="J89" i="12"/>
  <c r="J86" i="12"/>
  <c r="K90" i="12"/>
  <c r="L81" i="12"/>
  <c r="J83" i="12"/>
  <c r="M87" i="12"/>
  <c r="M84" i="12"/>
  <c r="I9" i="12"/>
  <c r="I12" i="12" s="1"/>
  <c r="I77" i="12"/>
  <c r="I78" i="12" s="1"/>
  <c r="G19" i="12"/>
  <c r="G21" i="12"/>
  <c r="N60" i="12"/>
  <c r="N74" i="12"/>
  <c r="N75" i="12" s="1"/>
  <c r="G13" i="12"/>
  <c r="G16" i="12"/>
  <c r="H18" i="12"/>
  <c r="J34" i="12"/>
  <c r="I17" i="12"/>
  <c r="J44" i="12"/>
  <c r="K41" i="12"/>
  <c r="L24" i="12"/>
  <c r="M24" i="12" s="1"/>
  <c r="N24" i="12" s="1"/>
  <c r="O24" i="12" s="1"/>
  <c r="J15" i="12"/>
  <c r="K14" i="12"/>
  <c r="L223" i="12" l="1"/>
  <c r="K226" i="12"/>
  <c r="K268" i="12"/>
  <c r="K271" i="12"/>
  <c r="K265" i="12"/>
  <c r="H104" i="12"/>
  <c r="H201" i="12"/>
  <c r="H198" i="12"/>
  <c r="H203" i="12"/>
  <c r="I203" i="12" s="1"/>
  <c r="J203" i="12" s="1"/>
  <c r="K203" i="12" s="1"/>
  <c r="L203" i="12" s="1"/>
  <c r="M203" i="12" s="1"/>
  <c r="N203" i="12" s="1"/>
  <c r="O203" i="12" s="1"/>
  <c r="P203" i="12" s="1"/>
  <c r="I194" i="12"/>
  <c r="H195" i="12"/>
  <c r="J208" i="12"/>
  <c r="J213" i="12"/>
  <c r="J218" i="12"/>
  <c r="J207" i="12"/>
  <c r="J212" i="12"/>
  <c r="J217" i="12"/>
  <c r="J214" i="12"/>
  <c r="J209" i="12"/>
  <c r="J219" i="12"/>
  <c r="J259" i="12"/>
  <c r="J260" i="12" s="1"/>
  <c r="J191" i="12"/>
  <c r="J121" i="12"/>
  <c r="J116" i="12"/>
  <c r="J126" i="12"/>
  <c r="H112" i="12"/>
  <c r="I112" i="12" s="1"/>
  <c r="J112" i="12" s="1"/>
  <c r="K112" i="12" s="1"/>
  <c r="L112" i="12" s="1"/>
  <c r="M112" i="12" s="1"/>
  <c r="N112" i="12" s="1"/>
  <c r="O112" i="12" s="1"/>
  <c r="P112" i="12" s="1"/>
  <c r="K135" i="12"/>
  <c r="L132" i="12"/>
  <c r="J122" i="12"/>
  <c r="J117" i="12"/>
  <c r="J127" i="12"/>
  <c r="I103" i="12"/>
  <c r="J123" i="12"/>
  <c r="J118" i="12"/>
  <c r="J128" i="12"/>
  <c r="J168" i="12"/>
  <c r="J169" i="12" s="1"/>
  <c r="J100" i="12"/>
  <c r="K83" i="12"/>
  <c r="K180" i="12"/>
  <c r="K174" i="12"/>
  <c r="K177" i="12"/>
  <c r="H107" i="12"/>
  <c r="H110" i="12"/>
  <c r="L62" i="12"/>
  <c r="O85" i="12"/>
  <c r="H55" i="4"/>
  <c r="H119" i="4"/>
  <c r="H58" i="4" s="1"/>
  <c r="H70" i="4"/>
  <c r="H130" i="4" s="1"/>
  <c r="N50" i="12"/>
  <c r="M61" i="12"/>
  <c r="M47" i="12"/>
  <c r="M33" i="12"/>
  <c r="M29" i="12" s="1"/>
  <c r="H49" i="4"/>
  <c r="H59" i="4"/>
  <c r="I10" i="10"/>
  <c r="I78" i="10" s="1"/>
  <c r="H50" i="4"/>
  <c r="N48" i="12"/>
  <c r="H21" i="12"/>
  <c r="M53" i="10"/>
  <c r="N52" i="10"/>
  <c r="J36" i="12"/>
  <c r="J26" i="12"/>
  <c r="J31" i="12"/>
  <c r="J30" i="12"/>
  <c r="J35" i="12"/>
  <c r="J25" i="12"/>
  <c r="J32" i="12"/>
  <c r="J37" i="12"/>
  <c r="J27" i="12"/>
  <c r="K86" i="12"/>
  <c r="K89" i="12"/>
  <c r="L90" i="12"/>
  <c r="M81" i="12"/>
  <c r="N87" i="12"/>
  <c r="N84" i="12"/>
  <c r="J9" i="12"/>
  <c r="J12" i="12" s="1"/>
  <c r="J77" i="12"/>
  <c r="J78" i="12" s="1"/>
  <c r="O60" i="12"/>
  <c r="P74" i="12"/>
  <c r="O74" i="12"/>
  <c r="O75" i="12" s="1"/>
  <c r="K44" i="12"/>
  <c r="L41" i="12"/>
  <c r="I18" i="12"/>
  <c r="K34" i="12"/>
  <c r="J17" i="12"/>
  <c r="P24" i="12"/>
  <c r="K15" i="12"/>
  <c r="L14" i="12"/>
  <c r="J194" i="12" l="1"/>
  <c r="I202" i="12"/>
  <c r="J202" i="12" s="1"/>
  <c r="K202" i="12" s="1"/>
  <c r="L202" i="12" s="1"/>
  <c r="M202" i="12" s="1"/>
  <c r="N202" i="12" s="1"/>
  <c r="O202" i="12" s="1"/>
  <c r="P202" i="12" s="1"/>
  <c r="K31" i="12"/>
  <c r="K208" i="12"/>
  <c r="K213" i="12"/>
  <c r="K218" i="12"/>
  <c r="L268" i="12"/>
  <c r="L265" i="12"/>
  <c r="L271" i="12"/>
  <c r="K209" i="12"/>
  <c r="K214" i="12"/>
  <c r="K219" i="12"/>
  <c r="K259" i="12"/>
  <c r="K260" i="12" s="1"/>
  <c r="K191" i="12"/>
  <c r="K207" i="12"/>
  <c r="K212" i="12"/>
  <c r="K217" i="12"/>
  <c r="M223" i="12"/>
  <c r="L226" i="12"/>
  <c r="K26" i="12"/>
  <c r="L180" i="12"/>
  <c r="L177" i="12"/>
  <c r="L174" i="12"/>
  <c r="M132" i="12"/>
  <c r="L135" i="12"/>
  <c r="K123" i="12"/>
  <c r="K118" i="12"/>
  <c r="K128" i="12"/>
  <c r="K122" i="12"/>
  <c r="K117" i="12"/>
  <c r="K127" i="12"/>
  <c r="K168" i="12"/>
  <c r="K169" i="12" s="1"/>
  <c r="K100" i="12"/>
  <c r="K121" i="12"/>
  <c r="K126" i="12"/>
  <c r="K116" i="12"/>
  <c r="J103" i="12"/>
  <c r="I111" i="12"/>
  <c r="J111" i="12" s="1"/>
  <c r="K111" i="12" s="1"/>
  <c r="L111" i="12" s="1"/>
  <c r="M111" i="12" s="1"/>
  <c r="N111" i="12" s="1"/>
  <c r="O111" i="12" s="1"/>
  <c r="P111" i="12" s="1"/>
  <c r="H77" i="4"/>
  <c r="P85" i="12"/>
  <c r="H117" i="4"/>
  <c r="K36" i="12"/>
  <c r="M62" i="12"/>
  <c r="I57" i="10"/>
  <c r="O50" i="12"/>
  <c r="N61" i="12"/>
  <c r="I42" i="10"/>
  <c r="H65" i="4" s="1"/>
  <c r="I50" i="10"/>
  <c r="J48" i="10" s="1"/>
  <c r="I95" i="10"/>
  <c r="I99" i="10" s="1"/>
  <c r="I89" i="10"/>
  <c r="H146" i="4" s="1"/>
  <c r="I12" i="10"/>
  <c r="I17" i="10" s="1"/>
  <c r="I20" i="10"/>
  <c r="N33" i="12"/>
  <c r="N29" i="12" s="1"/>
  <c r="O48" i="12"/>
  <c r="N47" i="12"/>
  <c r="I38" i="5"/>
  <c r="H136" i="4"/>
  <c r="N53" i="10"/>
  <c r="O52" i="10"/>
  <c r="K32" i="12"/>
  <c r="K37" i="12"/>
  <c r="K27" i="12"/>
  <c r="K35" i="12"/>
  <c r="K25" i="12"/>
  <c r="K30" i="12"/>
  <c r="L89" i="12"/>
  <c r="L86" i="12"/>
  <c r="M90" i="12"/>
  <c r="N81" i="12"/>
  <c r="L83" i="12"/>
  <c r="O87" i="12"/>
  <c r="O84" i="12"/>
  <c r="K9" i="12"/>
  <c r="K12" i="12" s="1"/>
  <c r="K77" i="12"/>
  <c r="K78" i="12" s="1"/>
  <c r="P60" i="12"/>
  <c r="P75" i="12"/>
  <c r="J18" i="12"/>
  <c r="L34" i="12"/>
  <c r="K17" i="12"/>
  <c r="L44" i="12"/>
  <c r="M41" i="12"/>
  <c r="L15" i="12"/>
  <c r="M14" i="12"/>
  <c r="M268" i="12" l="1"/>
  <c r="M265" i="12"/>
  <c r="M271" i="12"/>
  <c r="L212" i="12"/>
  <c r="L207" i="12"/>
  <c r="L217" i="12"/>
  <c r="L259" i="12"/>
  <c r="L260" i="12" s="1"/>
  <c r="L191" i="12"/>
  <c r="M226" i="12"/>
  <c r="N223" i="12"/>
  <c r="L219" i="12"/>
  <c r="L214" i="12"/>
  <c r="L209" i="12"/>
  <c r="K194" i="12"/>
  <c r="L218" i="12"/>
  <c r="L208" i="12"/>
  <c r="L213" i="12"/>
  <c r="L168" i="12"/>
  <c r="L169" i="12" s="1"/>
  <c r="L100" i="12"/>
  <c r="M135" i="12"/>
  <c r="N132" i="12"/>
  <c r="L122" i="12"/>
  <c r="L127" i="12"/>
  <c r="L117" i="12"/>
  <c r="M180" i="12"/>
  <c r="M177" i="12"/>
  <c r="M174" i="12"/>
  <c r="L121" i="12"/>
  <c r="L126" i="12"/>
  <c r="L116" i="12"/>
  <c r="L123" i="12"/>
  <c r="L118" i="12"/>
  <c r="L128" i="12"/>
  <c r="K103" i="12"/>
  <c r="J40" i="10"/>
  <c r="N62" i="12"/>
  <c r="H48" i="4"/>
  <c r="I56" i="10" s="1"/>
  <c r="H116" i="4"/>
  <c r="P50" i="12"/>
  <c r="P61" i="12" s="1"/>
  <c r="O61" i="12"/>
  <c r="I100" i="10"/>
  <c r="I101" i="10" s="1"/>
  <c r="H84" i="4" s="1"/>
  <c r="I49" i="10"/>
  <c r="I18" i="10"/>
  <c r="H18" i="4" s="1"/>
  <c r="H67" i="4" s="1"/>
  <c r="H128" i="4" s="1"/>
  <c r="I41" i="10"/>
  <c r="O47" i="12"/>
  <c r="I11" i="10"/>
  <c r="I37" i="5"/>
  <c r="O33" i="12"/>
  <c r="O29" i="12" s="1"/>
  <c r="P48" i="12"/>
  <c r="H143" i="4"/>
  <c r="H148" i="4" s="1"/>
  <c r="H126" i="4"/>
  <c r="I60" i="10"/>
  <c r="O53" i="10"/>
  <c r="P52" i="10"/>
  <c r="L37" i="12"/>
  <c r="L27" i="12"/>
  <c r="L32" i="12"/>
  <c r="L36" i="12"/>
  <c r="L26" i="12"/>
  <c r="L31" i="12"/>
  <c r="L30" i="12"/>
  <c r="L35" i="12"/>
  <c r="L25" i="12"/>
  <c r="M86" i="12"/>
  <c r="M89" i="12"/>
  <c r="N90" i="12"/>
  <c r="O81" i="12"/>
  <c r="M83" i="12"/>
  <c r="P87" i="12"/>
  <c r="P84" i="12"/>
  <c r="L9" i="12"/>
  <c r="L12" i="12" s="1"/>
  <c r="L77" i="12"/>
  <c r="L78" i="12" s="1"/>
  <c r="K18" i="12"/>
  <c r="M34" i="12"/>
  <c r="L17" i="12"/>
  <c r="N41" i="12"/>
  <c r="M44" i="12"/>
  <c r="M15" i="12"/>
  <c r="N14" i="12"/>
  <c r="N268" i="12" l="1"/>
  <c r="N271" i="12"/>
  <c r="N265" i="12"/>
  <c r="L194" i="12"/>
  <c r="M212" i="12"/>
  <c r="M217" i="12"/>
  <c r="M207" i="12"/>
  <c r="M213" i="12"/>
  <c r="M218" i="12"/>
  <c r="M208" i="12"/>
  <c r="O223" i="12"/>
  <c r="N226" i="12"/>
  <c r="M259" i="12"/>
  <c r="M260" i="12" s="1"/>
  <c r="M191" i="12"/>
  <c r="M219" i="12"/>
  <c r="M209" i="12"/>
  <c r="M214" i="12"/>
  <c r="M122" i="12"/>
  <c r="M117" i="12"/>
  <c r="M127" i="12"/>
  <c r="N135" i="12"/>
  <c r="O132" i="12"/>
  <c r="N83" i="12"/>
  <c r="N180" i="12"/>
  <c r="N174" i="12"/>
  <c r="N177" i="12"/>
  <c r="M168" i="12"/>
  <c r="M169" i="12" s="1"/>
  <c r="M100" i="12"/>
  <c r="M123" i="12"/>
  <c r="M128" i="12"/>
  <c r="M118" i="12"/>
  <c r="L103" i="12"/>
  <c r="M121" i="12"/>
  <c r="M126" i="12"/>
  <c r="M116" i="12"/>
  <c r="P62" i="12"/>
  <c r="O62" i="12"/>
  <c r="J94" i="10"/>
  <c r="H12" i="4"/>
  <c r="H66" i="4" s="1"/>
  <c r="I61" i="10" s="1"/>
  <c r="P33" i="12"/>
  <c r="P29" i="12" s="1"/>
  <c r="P47" i="12"/>
  <c r="H71" i="4"/>
  <c r="I62" i="10" s="1"/>
  <c r="H75" i="4"/>
  <c r="H131" i="4" s="1"/>
  <c r="H78" i="4"/>
  <c r="Q52" i="10"/>
  <c r="P53" i="10"/>
  <c r="M35" i="12"/>
  <c r="M25" i="12"/>
  <c r="M30" i="12"/>
  <c r="M31" i="12"/>
  <c r="M36" i="12"/>
  <c r="M26" i="12"/>
  <c r="M32" i="12"/>
  <c r="M37" i="12"/>
  <c r="M27" i="12"/>
  <c r="N86" i="12"/>
  <c r="N89" i="12"/>
  <c r="O90" i="12"/>
  <c r="P81" i="12"/>
  <c r="M9" i="12"/>
  <c r="M12" i="12" s="1"/>
  <c r="M77" i="12"/>
  <c r="M78" i="12" s="1"/>
  <c r="O41" i="12"/>
  <c r="N44" i="12"/>
  <c r="L18" i="12"/>
  <c r="N34" i="12"/>
  <c r="M17" i="12"/>
  <c r="O14" i="12"/>
  <c r="N15" i="12"/>
  <c r="O268" i="12" l="1"/>
  <c r="O271" i="12"/>
  <c r="O265" i="12"/>
  <c r="N31" i="12"/>
  <c r="N208" i="12"/>
  <c r="N218" i="12"/>
  <c r="N213" i="12"/>
  <c r="P223" i="12"/>
  <c r="P226" i="12" s="1"/>
  <c r="O226" i="12"/>
  <c r="N209" i="12"/>
  <c r="N214" i="12"/>
  <c r="N219" i="12"/>
  <c r="N207" i="12"/>
  <c r="N217" i="12"/>
  <c r="N212" i="12"/>
  <c r="M194" i="12"/>
  <c r="N259" i="12"/>
  <c r="N260" i="12" s="1"/>
  <c r="N191" i="12"/>
  <c r="N26" i="12"/>
  <c r="H127" i="4"/>
  <c r="N122" i="12"/>
  <c r="N117" i="12"/>
  <c r="N127" i="12"/>
  <c r="O83" i="12"/>
  <c r="O180" i="12"/>
  <c r="O174" i="12"/>
  <c r="O177" i="12"/>
  <c r="N123" i="12"/>
  <c r="N128" i="12"/>
  <c r="N118" i="12"/>
  <c r="O135" i="12"/>
  <c r="P132" i="12"/>
  <c r="P135" i="12" s="1"/>
  <c r="N168" i="12"/>
  <c r="N169" i="12" s="1"/>
  <c r="N100" i="12"/>
  <c r="M103" i="12"/>
  <c r="N121" i="12"/>
  <c r="N126" i="12"/>
  <c r="N116" i="12"/>
  <c r="P14" i="12"/>
  <c r="N36" i="12"/>
  <c r="H132" i="4"/>
  <c r="I63" i="10"/>
  <c r="Q53" i="10"/>
  <c r="R52" i="10"/>
  <c r="R53" i="10" s="1"/>
  <c r="N32" i="12"/>
  <c r="N37" i="12"/>
  <c r="N27" i="12"/>
  <c r="N25" i="12"/>
  <c r="N35" i="12"/>
  <c r="N30" i="12"/>
  <c r="P90" i="12"/>
  <c r="O86" i="12"/>
  <c r="O89" i="12"/>
  <c r="N9" i="12"/>
  <c r="N12" i="12" s="1"/>
  <c r="N77" i="12"/>
  <c r="N78" i="12" s="1"/>
  <c r="O34" i="12"/>
  <c r="N17" i="12"/>
  <c r="M18" i="12"/>
  <c r="P41" i="12"/>
  <c r="P44" i="12" s="1"/>
  <c r="O44" i="12"/>
  <c r="O15" i="12"/>
  <c r="P15" i="12"/>
  <c r="O259" i="12" l="1"/>
  <c r="O260" i="12" s="1"/>
  <c r="O191" i="12"/>
  <c r="O214" i="12"/>
  <c r="O219" i="12"/>
  <c r="O209" i="12"/>
  <c r="P259" i="12"/>
  <c r="P260" i="12" s="1"/>
  <c r="P191" i="12"/>
  <c r="O212" i="12"/>
  <c r="O217" i="12"/>
  <c r="O207" i="12"/>
  <c r="N194" i="12"/>
  <c r="P268" i="12"/>
  <c r="P265" i="12"/>
  <c r="P271" i="12"/>
  <c r="O31" i="12"/>
  <c r="O213" i="12"/>
  <c r="O208" i="12"/>
  <c r="O218" i="12"/>
  <c r="O26" i="12"/>
  <c r="O168" i="12"/>
  <c r="O169" i="12" s="1"/>
  <c r="O100" i="12"/>
  <c r="O122" i="12"/>
  <c r="O117" i="12"/>
  <c r="O127" i="12"/>
  <c r="O123" i="12"/>
  <c r="O118" i="12"/>
  <c r="O128" i="12"/>
  <c r="N103" i="12"/>
  <c r="O121" i="12"/>
  <c r="O116" i="12"/>
  <c r="O126" i="12"/>
  <c r="P174" i="12"/>
  <c r="P177" i="12"/>
  <c r="P180" i="12"/>
  <c r="P168" i="12"/>
  <c r="P100" i="12"/>
  <c r="O36" i="12"/>
  <c r="O37" i="12"/>
  <c r="O32" i="12"/>
  <c r="O27" i="12"/>
  <c r="O35" i="12"/>
  <c r="O25" i="12"/>
  <c r="O30" i="12"/>
  <c r="P86" i="12"/>
  <c r="P89" i="12"/>
  <c r="P83" i="12"/>
  <c r="O9" i="12"/>
  <c r="O12" i="12" s="1"/>
  <c r="O77" i="12"/>
  <c r="O78" i="12" s="1"/>
  <c r="P9" i="12"/>
  <c r="P77" i="12"/>
  <c r="N18" i="12"/>
  <c r="P34" i="12"/>
  <c r="O17" i="12"/>
  <c r="P217" i="12" l="1"/>
  <c r="P207" i="12"/>
  <c r="P212" i="12"/>
  <c r="P209" i="12"/>
  <c r="P219" i="12"/>
  <c r="P214" i="12"/>
  <c r="P218" i="12"/>
  <c r="P213" i="12"/>
  <c r="P208" i="12"/>
  <c r="P194" i="12"/>
  <c r="O194" i="12"/>
  <c r="P169" i="12"/>
  <c r="P122" i="12"/>
  <c r="P127" i="12"/>
  <c r="P117" i="12"/>
  <c r="P123" i="12"/>
  <c r="P128" i="12"/>
  <c r="P118" i="12"/>
  <c r="O103" i="12"/>
  <c r="P103" i="12"/>
  <c r="P121" i="12"/>
  <c r="P126" i="12"/>
  <c r="P116" i="12"/>
  <c r="P17" i="12"/>
  <c r="P18" i="12" s="1"/>
  <c r="P32" i="12"/>
  <c r="P37" i="12"/>
  <c r="P27" i="12"/>
  <c r="P31" i="12"/>
  <c r="P36" i="12"/>
  <c r="P26" i="12"/>
  <c r="P35" i="12"/>
  <c r="P30" i="12"/>
  <c r="P25" i="12"/>
  <c r="P78" i="12"/>
  <c r="P12" i="12"/>
  <c r="O18" i="12"/>
  <c r="H125" i="4" l="1"/>
  <c r="H123" i="4"/>
  <c r="H122" i="4"/>
  <c r="H124" i="4"/>
  <c r="F115" i="4"/>
  <c r="C127" i="4"/>
  <c r="D36" i="5" s="1"/>
  <c r="C66" i="4"/>
  <c r="C154" i="4"/>
  <c r="D153" i="4" s="1"/>
  <c r="D112" i="4"/>
  <c r="F112" i="4"/>
  <c r="G112" i="4"/>
  <c r="D115" i="4"/>
  <c r="E115" i="4"/>
  <c r="G115" i="4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C115" i="4"/>
  <c r="E112" i="4"/>
  <c r="D32" i="4"/>
  <c r="E32" i="4"/>
  <c r="F32" i="4"/>
  <c r="G32" i="4"/>
  <c r="C32" i="4"/>
  <c r="C100" i="4" l="1"/>
  <c r="E61" i="10"/>
  <c r="E63" i="10" s="1"/>
  <c r="E65" i="10" s="1"/>
  <c r="H7" i="4"/>
  <c r="I7" i="4" s="1"/>
  <c r="J7" i="4" s="1"/>
  <c r="K7" i="4" s="1"/>
  <c r="L7" i="4" s="1"/>
  <c r="M7" i="4" s="1"/>
  <c r="N7" i="4" s="1"/>
  <c r="O7" i="4" s="1"/>
  <c r="P7" i="4" s="1"/>
  <c r="Q7" i="4" s="1"/>
  <c r="C7" i="4"/>
  <c r="D60" i="5"/>
  <c r="B2" i="2"/>
  <c r="B37" i="2"/>
  <c r="B38" i="2" s="1"/>
  <c r="B39" i="2" s="1"/>
  <c r="B40" i="2" s="1"/>
  <c r="B41" i="2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2" i="11"/>
  <c r="H140" i="4" l="1"/>
  <c r="G140" i="4"/>
  <c r="F140" i="4"/>
  <c r="E140" i="4"/>
  <c r="D140" i="4"/>
  <c r="C140" i="4"/>
  <c r="E6" i="10"/>
  <c r="F6" i="10" s="1"/>
  <c r="B2" i="10"/>
  <c r="E30" i="5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C19" i="5"/>
  <c r="C21" i="5" s="1"/>
  <c r="C13" i="5"/>
  <c r="C10" i="5" s="1"/>
  <c r="B2" i="5"/>
  <c r="G87" i="4"/>
  <c r="F87" i="4"/>
  <c r="E87" i="4"/>
  <c r="D87" i="4"/>
  <c r="C87" i="4"/>
  <c r="H72" i="4"/>
  <c r="H79" i="4" s="1"/>
  <c r="G72" i="4"/>
  <c r="G79" i="4" s="1"/>
  <c r="F72" i="4"/>
  <c r="F79" i="4" s="1"/>
  <c r="E72" i="4"/>
  <c r="E79" i="4" s="1"/>
  <c r="D72" i="4"/>
  <c r="D79" i="4" s="1"/>
  <c r="C72" i="4"/>
  <c r="C79" i="4" s="1"/>
  <c r="G51" i="4"/>
  <c r="G60" i="4" s="1"/>
  <c r="F51" i="4"/>
  <c r="F60" i="4" s="1"/>
  <c r="E51" i="4"/>
  <c r="E60" i="4" s="1"/>
  <c r="D51" i="4"/>
  <c r="D60" i="4" s="1"/>
  <c r="C51" i="4"/>
  <c r="C60" i="4" s="1"/>
  <c r="G23" i="4"/>
  <c r="F23" i="4"/>
  <c r="E23" i="4"/>
  <c r="D23" i="4"/>
  <c r="C23" i="4"/>
  <c r="H14" i="4"/>
  <c r="G14" i="4"/>
  <c r="F14" i="4"/>
  <c r="E14" i="4"/>
  <c r="D14" i="4"/>
  <c r="C14" i="4"/>
  <c r="H13" i="4"/>
  <c r="G13" i="4"/>
  <c r="F13" i="4"/>
  <c r="E13" i="4"/>
  <c r="D13" i="4"/>
  <c r="C13" i="4"/>
  <c r="H11" i="4"/>
  <c r="G11" i="4"/>
  <c r="F11" i="4"/>
  <c r="E11" i="4"/>
  <c r="D11" i="4"/>
  <c r="C11" i="4"/>
  <c r="D6" i="4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B9" i="2"/>
  <c r="B10" i="2" s="1"/>
  <c r="B11" i="2" s="1"/>
  <c r="B12" i="2" s="1"/>
  <c r="B13" i="2" s="1"/>
  <c r="B14" i="2" s="1"/>
  <c r="B17" i="1"/>
  <c r="B7" i="1"/>
  <c r="H27" i="4" l="1"/>
  <c r="H20" i="4"/>
  <c r="G6" i="10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C15" i="4"/>
  <c r="C25" i="4"/>
  <c r="G25" i="4"/>
  <c r="D25" i="4"/>
  <c r="E25" i="4"/>
  <c r="F25" i="4"/>
  <c r="C89" i="4"/>
  <c r="C91" i="4" s="1"/>
  <c r="E89" i="4"/>
  <c r="E91" i="4" s="1"/>
  <c r="D89" i="4"/>
  <c r="D91" i="4" s="1"/>
  <c r="F89" i="4"/>
  <c r="F91" i="4" s="1"/>
  <c r="C12" i="5"/>
  <c r="D15" i="4"/>
  <c r="E15" i="4"/>
  <c r="H15" i="4"/>
  <c r="F15" i="4"/>
  <c r="G15" i="4"/>
  <c r="G89" i="4"/>
  <c r="G91" i="4" s="1"/>
  <c r="F29" i="4" l="1"/>
  <c r="F35" i="4" s="1"/>
  <c r="G32" i="5"/>
  <c r="G29" i="4"/>
  <c r="H32" i="5"/>
  <c r="E29" i="4"/>
  <c r="F32" i="5"/>
  <c r="D29" i="4"/>
  <c r="E32" i="5"/>
  <c r="C29" i="4"/>
  <c r="D32" i="5"/>
  <c r="H23" i="4"/>
  <c r="H25" i="4" s="1"/>
  <c r="G25" i="10"/>
  <c r="G27" i="10" s="1"/>
  <c r="G33" i="5" s="1"/>
  <c r="G33" i="4" l="1"/>
  <c r="C35" i="4"/>
  <c r="C110" i="4" s="1"/>
  <c r="E33" i="4"/>
  <c r="G35" i="4"/>
  <c r="F33" i="4"/>
  <c r="G34" i="5"/>
  <c r="G39" i="5" s="1"/>
  <c r="G42" i="5" s="1"/>
  <c r="H25" i="10"/>
  <c r="H27" i="10" s="1"/>
  <c r="D25" i="10"/>
  <c r="D27" i="10" s="1"/>
  <c r="D33" i="5" s="1"/>
  <c r="D34" i="5" s="1"/>
  <c r="D39" i="5" s="1"/>
  <c r="D42" i="5" s="1"/>
  <c r="C33" i="4"/>
  <c r="D35" i="4"/>
  <c r="D33" i="4"/>
  <c r="E25" i="10"/>
  <c r="E27" i="10" s="1"/>
  <c r="E33" i="5" s="1"/>
  <c r="E34" i="5" s="1"/>
  <c r="E39" i="5" s="1"/>
  <c r="E42" i="5" s="1"/>
  <c r="F25" i="10"/>
  <c r="F27" i="10" s="1"/>
  <c r="F33" i="5" s="1"/>
  <c r="F34" i="5" s="1"/>
  <c r="F39" i="5" s="1"/>
  <c r="F42" i="5" s="1"/>
  <c r="C39" i="4"/>
  <c r="E35" i="4"/>
  <c r="D39" i="4"/>
  <c r="F39" i="4"/>
  <c r="G88" i="10"/>
  <c r="G89" i="10" s="1"/>
  <c r="G92" i="10" s="1"/>
  <c r="G39" i="4"/>
  <c r="H29" i="4"/>
  <c r="I32" i="5"/>
  <c r="F36" i="4"/>
  <c r="F110" i="4"/>
  <c r="E82" i="10"/>
  <c r="H78" i="10"/>
  <c r="C133" i="4" l="1"/>
  <c r="C152" i="4" s="1"/>
  <c r="F133" i="4"/>
  <c r="F152" i="4" s="1"/>
  <c r="C36" i="4"/>
  <c r="H88" i="10"/>
  <c r="H89" i="10" s="1"/>
  <c r="H92" i="10" s="1"/>
  <c r="G36" i="4"/>
  <c r="G110" i="4"/>
  <c r="D88" i="10"/>
  <c r="D89" i="10" s="1"/>
  <c r="D92" i="10" s="1"/>
  <c r="E39" i="4"/>
  <c r="D110" i="4"/>
  <c r="I25" i="10"/>
  <c r="I26" i="10" s="1"/>
  <c r="H31" i="4" s="1"/>
  <c r="E88" i="10"/>
  <c r="E89" i="10" s="1"/>
  <c r="E92" i="10" s="1"/>
  <c r="D36" i="4"/>
  <c r="H33" i="5"/>
  <c r="H34" i="5" s="1"/>
  <c r="C23" i="5"/>
  <c r="C24" i="5" s="1"/>
  <c r="C25" i="5" s="1"/>
  <c r="I34" i="5"/>
  <c r="E36" i="4"/>
  <c r="E110" i="4"/>
  <c r="F88" i="10"/>
  <c r="F89" i="10" s="1"/>
  <c r="F92" i="10" s="1"/>
  <c r="H82" i="10"/>
  <c r="H38" i="5"/>
  <c r="I76" i="10"/>
  <c r="G133" i="4" l="1"/>
  <c r="G152" i="4" s="1"/>
  <c r="E133" i="4"/>
  <c r="E152" i="4" s="1"/>
  <c r="D133" i="4"/>
  <c r="D152" i="4" s="1"/>
  <c r="D154" i="4" s="1"/>
  <c r="E153" i="4" s="1"/>
  <c r="H39" i="5"/>
  <c r="H42" i="5" s="1"/>
  <c r="K40" i="5"/>
  <c r="L40" i="5"/>
  <c r="M40" i="5"/>
  <c r="I40" i="5"/>
  <c r="R40" i="5"/>
  <c r="J40" i="5"/>
  <c r="O40" i="5"/>
  <c r="P40" i="5"/>
  <c r="Q40" i="5"/>
  <c r="N40" i="5"/>
  <c r="I77" i="10"/>
  <c r="E154" i="4" l="1"/>
  <c r="F153" i="4" s="1"/>
  <c r="F154" i="4" s="1"/>
  <c r="G153" i="4" s="1"/>
  <c r="G154" i="4" s="1"/>
  <c r="H153" i="4" s="1"/>
  <c r="H32" i="4"/>
  <c r="H35" i="4"/>
  <c r="H33" i="4"/>
  <c r="I79" i="10"/>
  <c r="H38" i="4"/>
  <c r="H112" i="4" s="1"/>
  <c r="I88" i="10" l="1"/>
  <c r="I90" i="10" s="1"/>
  <c r="H85" i="4" s="1"/>
  <c r="H87" i="4" s="1"/>
  <c r="H89" i="4" s="1"/>
  <c r="H36" i="4"/>
  <c r="H110" i="4"/>
  <c r="J76" i="10"/>
  <c r="J77" i="10" s="1"/>
  <c r="H54" i="4"/>
  <c r="I35" i="5"/>
  <c r="H39" i="4"/>
  <c r="J87" i="10" l="1"/>
  <c r="I38" i="4"/>
  <c r="I112" i="4" s="1"/>
  <c r="J35" i="5" l="1"/>
  <c r="Q37" i="10" l="1"/>
  <c r="L37" i="10"/>
  <c r="O37" i="10"/>
  <c r="J37" i="10"/>
  <c r="P37" i="10"/>
  <c r="R37" i="10"/>
  <c r="N37" i="10"/>
  <c r="K37" i="10"/>
  <c r="I37" i="10"/>
  <c r="M37" i="10"/>
  <c r="I34" i="10"/>
  <c r="I33" i="10" l="1"/>
  <c r="H47" i="4"/>
  <c r="J32" i="10"/>
  <c r="I55" i="10" l="1"/>
  <c r="I58" i="10" s="1"/>
  <c r="I65" i="10" s="1"/>
  <c r="I36" i="5" s="1"/>
  <c r="I39" i="5" s="1"/>
  <c r="I42" i="5" s="1"/>
  <c r="H121" i="4"/>
  <c r="H133" i="4" l="1"/>
  <c r="H152" i="4" s="1"/>
  <c r="H154" i="4" s="1"/>
  <c r="H19" i="12"/>
  <c r="H16" i="12"/>
  <c r="H13" i="12"/>
  <c r="I21" i="12"/>
  <c r="I10" i="4"/>
  <c r="I153" i="4" l="1"/>
  <c r="H46" i="4"/>
  <c r="H51" i="4" s="1"/>
  <c r="I49" i="4"/>
  <c r="J10" i="10"/>
  <c r="J95" i="10" s="1"/>
  <c r="J99" i="10" s="1"/>
  <c r="J21" i="12"/>
  <c r="K21" i="12" s="1"/>
  <c r="L21" i="12" s="1"/>
  <c r="M21" i="12" s="1"/>
  <c r="N21" i="12" s="1"/>
  <c r="O21" i="12" s="1"/>
  <c r="P21" i="12" s="1"/>
  <c r="I20" i="12"/>
  <c r="I55" i="4"/>
  <c r="I70" i="4"/>
  <c r="I119" i="4"/>
  <c r="I58" i="4" s="1"/>
  <c r="I11" i="4"/>
  <c r="I59" i="4"/>
  <c r="I50" i="4"/>
  <c r="I198" i="12" l="1"/>
  <c r="I201" i="12"/>
  <c r="I195" i="12"/>
  <c r="I107" i="12"/>
  <c r="I110" i="12"/>
  <c r="I104" i="12"/>
  <c r="I77" i="4"/>
  <c r="J37" i="5"/>
  <c r="I123" i="4"/>
  <c r="J78" i="10"/>
  <c r="J50" i="10"/>
  <c r="J20" i="10"/>
  <c r="J12" i="10"/>
  <c r="J17" i="10" s="1"/>
  <c r="J42" i="10"/>
  <c r="J89" i="10"/>
  <c r="J34" i="10"/>
  <c r="J20" i="12"/>
  <c r="J10" i="4"/>
  <c r="I19" i="12"/>
  <c r="I13" i="12"/>
  <c r="I16" i="12"/>
  <c r="I130" i="4"/>
  <c r="I117" i="4"/>
  <c r="I125" i="4"/>
  <c r="I20" i="4"/>
  <c r="I27" i="4"/>
  <c r="I116" i="4"/>
  <c r="J100" i="10"/>
  <c r="J101" i="10" s="1"/>
  <c r="I124" i="4"/>
  <c r="J57" i="10"/>
  <c r="J201" i="12" l="1"/>
  <c r="J198" i="12"/>
  <c r="J195" i="12"/>
  <c r="J107" i="12"/>
  <c r="J110" i="12"/>
  <c r="J104" i="12"/>
  <c r="J18" i="10"/>
  <c r="I18" i="4" s="1"/>
  <c r="I75" i="4" s="1"/>
  <c r="I131" i="4" s="1"/>
  <c r="I48" i="4"/>
  <c r="J56" i="10" s="1"/>
  <c r="J38" i="5"/>
  <c r="J79" i="10"/>
  <c r="J49" i="10"/>
  <c r="I136" i="4"/>
  <c r="I140" i="4" s="1"/>
  <c r="K48" i="10"/>
  <c r="J11" i="10"/>
  <c r="I146" i="4"/>
  <c r="I143" i="4"/>
  <c r="I47" i="4"/>
  <c r="J33" i="10"/>
  <c r="K32" i="10"/>
  <c r="K40" i="10"/>
  <c r="I65" i="4"/>
  <c r="J41" i="10"/>
  <c r="J59" i="4"/>
  <c r="K10" i="10"/>
  <c r="J70" i="4"/>
  <c r="J119" i="4"/>
  <c r="J58" i="4" s="1"/>
  <c r="J49" i="4"/>
  <c r="J55" i="4"/>
  <c r="J50" i="4"/>
  <c r="J11" i="4"/>
  <c r="J20" i="4" s="1"/>
  <c r="K20" i="12"/>
  <c r="K10" i="4"/>
  <c r="J13" i="12"/>
  <c r="J16" i="12"/>
  <c r="J19" i="12"/>
  <c r="I84" i="4"/>
  <c r="K94" i="10"/>
  <c r="K201" i="12" l="1"/>
  <c r="K198" i="12"/>
  <c r="K195" i="12"/>
  <c r="K107" i="12"/>
  <c r="K110" i="12"/>
  <c r="K104" i="12"/>
  <c r="I122" i="4"/>
  <c r="I23" i="4"/>
  <c r="I67" i="4"/>
  <c r="I128" i="4" s="1"/>
  <c r="I71" i="4"/>
  <c r="I78" i="4"/>
  <c r="K76" i="10"/>
  <c r="K77" i="10" s="1"/>
  <c r="I54" i="4"/>
  <c r="I12" i="4"/>
  <c r="I66" i="4" s="1"/>
  <c r="J77" i="4"/>
  <c r="I148" i="4"/>
  <c r="I126" i="4"/>
  <c r="J60" i="10"/>
  <c r="J55" i="10"/>
  <c r="J58" i="10" s="1"/>
  <c r="I121" i="4"/>
  <c r="K59" i="4"/>
  <c r="K125" i="4" s="1"/>
  <c r="K119" i="4"/>
  <c r="K58" i="4" s="1"/>
  <c r="K49" i="4"/>
  <c r="K70" i="4"/>
  <c r="K117" i="4" s="1"/>
  <c r="L10" i="10"/>
  <c r="K50" i="4"/>
  <c r="K55" i="4"/>
  <c r="K11" i="4"/>
  <c r="K20" i="4" s="1"/>
  <c r="J123" i="4"/>
  <c r="K57" i="10"/>
  <c r="J27" i="4"/>
  <c r="L20" i="12"/>
  <c r="L10" i="4"/>
  <c r="K16" i="12"/>
  <c r="K19" i="12"/>
  <c r="K13" i="12"/>
  <c r="J130" i="4"/>
  <c r="J117" i="4"/>
  <c r="J124" i="4"/>
  <c r="K50" i="10"/>
  <c r="K42" i="10"/>
  <c r="K20" i="10"/>
  <c r="K89" i="10"/>
  <c r="K12" i="10"/>
  <c r="K17" i="10" s="1"/>
  <c r="K78" i="10"/>
  <c r="K95" i="10"/>
  <c r="K34" i="10"/>
  <c r="J125" i="4"/>
  <c r="L201" i="12" l="1"/>
  <c r="L198" i="12"/>
  <c r="L195" i="12"/>
  <c r="L107" i="12"/>
  <c r="L110" i="12"/>
  <c r="L104" i="12"/>
  <c r="J62" i="10"/>
  <c r="I132" i="4"/>
  <c r="K18" i="10"/>
  <c r="J18" i="4" s="1"/>
  <c r="J78" i="4" s="1"/>
  <c r="I13" i="4"/>
  <c r="I14" i="4"/>
  <c r="I15" i="4" s="1"/>
  <c r="I72" i="4"/>
  <c r="I79" i="4" s="1"/>
  <c r="J61" i="10"/>
  <c r="I127" i="4"/>
  <c r="K99" i="10"/>
  <c r="K77" i="4"/>
  <c r="K79" i="10"/>
  <c r="K123" i="4"/>
  <c r="J146" i="4"/>
  <c r="J38" i="4"/>
  <c r="K35" i="5" s="1"/>
  <c r="K11" i="10"/>
  <c r="K37" i="5"/>
  <c r="K100" i="10"/>
  <c r="K101" i="10" s="1"/>
  <c r="J116" i="4"/>
  <c r="K38" i="5"/>
  <c r="J136" i="4"/>
  <c r="J140" i="4" s="1"/>
  <c r="J65" i="4"/>
  <c r="L40" i="10"/>
  <c r="K41" i="10"/>
  <c r="K130" i="4"/>
  <c r="J47" i="4"/>
  <c r="L32" i="10"/>
  <c r="K33" i="10"/>
  <c r="L59" i="4"/>
  <c r="L125" i="4" s="1"/>
  <c r="M10" i="10"/>
  <c r="L55" i="4"/>
  <c r="L49" i="4"/>
  <c r="L70" i="4"/>
  <c r="L117" i="4" s="1"/>
  <c r="L50" i="4"/>
  <c r="L119" i="4"/>
  <c r="L58" i="4" s="1"/>
  <c r="L11" i="4"/>
  <c r="L20" i="4" s="1"/>
  <c r="L50" i="10"/>
  <c r="L42" i="10"/>
  <c r="L95" i="10"/>
  <c r="L78" i="10"/>
  <c r="L20" i="10"/>
  <c r="L12" i="10"/>
  <c r="L17" i="10" s="1"/>
  <c r="L89" i="10"/>
  <c r="L34" i="10"/>
  <c r="K124" i="4"/>
  <c r="M20" i="12"/>
  <c r="M10" i="4"/>
  <c r="L16" i="12"/>
  <c r="L13" i="12"/>
  <c r="L19" i="12"/>
  <c r="J48" i="4"/>
  <c r="L48" i="10"/>
  <c r="K49" i="10"/>
  <c r="K27" i="4"/>
  <c r="L57" i="10"/>
  <c r="M198" i="12" l="1"/>
  <c r="M201" i="12"/>
  <c r="M195" i="12"/>
  <c r="M107" i="12"/>
  <c r="M110" i="12"/>
  <c r="M104" i="12"/>
  <c r="L124" i="4"/>
  <c r="J63" i="10"/>
  <c r="J65" i="10" s="1"/>
  <c r="J36" i="5" s="1"/>
  <c r="I25" i="4"/>
  <c r="J54" i="4"/>
  <c r="J23" i="4"/>
  <c r="J75" i="4"/>
  <c r="J131" i="4" s="1"/>
  <c r="L99" i="10"/>
  <c r="J67" i="4"/>
  <c r="J128" i="4" s="1"/>
  <c r="L76" i="10"/>
  <c r="L77" i="10" s="1"/>
  <c r="L77" i="4"/>
  <c r="L123" i="4"/>
  <c r="K146" i="4"/>
  <c r="J12" i="4"/>
  <c r="J112" i="4"/>
  <c r="J71" i="4"/>
  <c r="J143" i="4"/>
  <c r="J148" i="4" s="1"/>
  <c r="L27" i="4"/>
  <c r="J122" i="4"/>
  <c r="M57" i="10"/>
  <c r="L18" i="10"/>
  <c r="L11" i="10"/>
  <c r="N20" i="12"/>
  <c r="N10" i="4"/>
  <c r="M16" i="12"/>
  <c r="M19" i="12"/>
  <c r="M13" i="12"/>
  <c r="L94" i="10"/>
  <c r="J84" i="4"/>
  <c r="M59" i="4"/>
  <c r="M70" i="4"/>
  <c r="M117" i="4" s="1"/>
  <c r="M119" i="4"/>
  <c r="M58" i="4" s="1"/>
  <c r="N10" i="10"/>
  <c r="M55" i="4"/>
  <c r="M49" i="4"/>
  <c r="M50" i="4"/>
  <c r="M11" i="4"/>
  <c r="M20" i="4" s="1"/>
  <c r="K48" i="4"/>
  <c r="L49" i="10"/>
  <c r="M48" i="10"/>
  <c r="K55" i="10"/>
  <c r="J121" i="4"/>
  <c r="K60" i="10"/>
  <c r="J126" i="4"/>
  <c r="K56" i="10"/>
  <c r="M78" i="10"/>
  <c r="M95" i="10"/>
  <c r="M50" i="10"/>
  <c r="M42" i="10"/>
  <c r="M20" i="10"/>
  <c r="M12" i="10"/>
  <c r="M17" i="10" s="1"/>
  <c r="M89" i="10"/>
  <c r="M34" i="10"/>
  <c r="M32" i="10"/>
  <c r="K47" i="4"/>
  <c r="L130" i="4"/>
  <c r="L33" i="10"/>
  <c r="L38" i="5"/>
  <c r="K136" i="4"/>
  <c r="K140" i="4" s="1"/>
  <c r="L37" i="5"/>
  <c r="K116" i="4"/>
  <c r="L100" i="10"/>
  <c r="L41" i="10"/>
  <c r="M40" i="10"/>
  <c r="K65" i="4"/>
  <c r="N201" i="12" l="1"/>
  <c r="N198" i="12"/>
  <c r="N195" i="12"/>
  <c r="N107" i="12"/>
  <c r="N110" i="12"/>
  <c r="N104" i="12"/>
  <c r="M124" i="4"/>
  <c r="I29" i="4"/>
  <c r="J25" i="10" s="1"/>
  <c r="J26" i="10" s="1"/>
  <c r="J32" i="5"/>
  <c r="J34" i="5" s="1"/>
  <c r="J39" i="5" s="1"/>
  <c r="J42" i="5" s="1"/>
  <c r="K62" i="10"/>
  <c r="M99" i="10"/>
  <c r="M77" i="4"/>
  <c r="L146" i="4"/>
  <c r="K18" i="4"/>
  <c r="K67" i="4" s="1"/>
  <c r="K128" i="4" s="1"/>
  <c r="M123" i="4"/>
  <c r="J132" i="4"/>
  <c r="J13" i="4"/>
  <c r="J14" i="4"/>
  <c r="J66" i="4"/>
  <c r="K12" i="4"/>
  <c r="K14" i="4" s="1"/>
  <c r="K15" i="4" s="1"/>
  <c r="K38" i="4"/>
  <c r="K112" i="4" s="1"/>
  <c r="K143" i="4"/>
  <c r="K148" i="4" s="1"/>
  <c r="M11" i="10"/>
  <c r="K122" i="4"/>
  <c r="L101" i="10"/>
  <c r="K84" i="4" s="1"/>
  <c r="K58" i="10"/>
  <c r="M27" i="4"/>
  <c r="M37" i="5"/>
  <c r="L116" i="4"/>
  <c r="M100" i="10"/>
  <c r="M38" i="5"/>
  <c r="L136" i="4"/>
  <c r="L140" i="4" s="1"/>
  <c r="N59" i="4"/>
  <c r="N125" i="4" s="1"/>
  <c r="N70" i="4"/>
  <c r="N55" i="4"/>
  <c r="N119" i="4"/>
  <c r="N58" i="4" s="1"/>
  <c r="N50" i="4"/>
  <c r="O10" i="10"/>
  <c r="N49" i="4"/>
  <c r="N11" i="4"/>
  <c r="N20" i="4" s="1"/>
  <c r="L56" i="10"/>
  <c r="K121" i="4"/>
  <c r="N50" i="10"/>
  <c r="N95" i="10"/>
  <c r="N42" i="10"/>
  <c r="N78" i="10"/>
  <c r="N12" i="10"/>
  <c r="N17" i="10" s="1"/>
  <c r="N20" i="10"/>
  <c r="N89" i="10"/>
  <c r="N34" i="10"/>
  <c r="O20" i="12"/>
  <c r="O10" i="4"/>
  <c r="N19" i="12"/>
  <c r="N16" i="12"/>
  <c r="N13" i="12"/>
  <c r="K126" i="4"/>
  <c r="L60" i="10"/>
  <c r="N48" i="10"/>
  <c r="M49" i="10"/>
  <c r="L48" i="4"/>
  <c r="M125" i="4"/>
  <c r="L47" i="4"/>
  <c r="M33" i="10"/>
  <c r="N32" i="10"/>
  <c r="L55" i="10"/>
  <c r="M41" i="10"/>
  <c r="L65" i="4"/>
  <c r="N40" i="10"/>
  <c r="M18" i="10"/>
  <c r="N57" i="10"/>
  <c r="M130" i="4"/>
  <c r="L79" i="10"/>
  <c r="O201" i="12" l="1"/>
  <c r="O198" i="12"/>
  <c r="O195" i="12"/>
  <c r="O107" i="12"/>
  <c r="O110" i="12"/>
  <c r="O104" i="12"/>
  <c r="N99" i="10"/>
  <c r="N77" i="4"/>
  <c r="L35" i="5"/>
  <c r="K13" i="4"/>
  <c r="L143" i="4"/>
  <c r="L148" i="4" s="1"/>
  <c r="L12" i="4"/>
  <c r="O57" i="10"/>
  <c r="J72" i="4"/>
  <c r="J79" i="4" s="1"/>
  <c r="J127" i="4"/>
  <c r="K61" i="10"/>
  <c r="K63" i="10" s="1"/>
  <c r="K65" i="10" s="1"/>
  <c r="K36" i="5" s="1"/>
  <c r="J15" i="4"/>
  <c r="J25" i="4"/>
  <c r="K23" i="4"/>
  <c r="K25" i="4" s="1"/>
  <c r="K71" i="4"/>
  <c r="K78" i="4"/>
  <c r="K75" i="4"/>
  <c r="K131" i="4" s="1"/>
  <c r="M94" i="10"/>
  <c r="M101" i="10" s="1"/>
  <c r="I31" i="4"/>
  <c r="M146" i="4"/>
  <c r="L18" i="4"/>
  <c r="L75" i="4" s="1"/>
  <c r="M55" i="10"/>
  <c r="K66" i="4"/>
  <c r="M56" i="10"/>
  <c r="N123" i="4"/>
  <c r="L122" i="4"/>
  <c r="N27" i="4"/>
  <c r="N18" i="10"/>
  <c r="N130" i="4"/>
  <c r="N11" i="10"/>
  <c r="L121" i="4"/>
  <c r="M136" i="4"/>
  <c r="M140" i="4" s="1"/>
  <c r="N38" i="5"/>
  <c r="N33" i="10"/>
  <c r="N41" i="10"/>
  <c r="M65" i="4"/>
  <c r="O40" i="10"/>
  <c r="O32" i="10"/>
  <c r="M47" i="4"/>
  <c r="L126" i="4"/>
  <c r="M60" i="10"/>
  <c r="O89" i="10"/>
  <c r="O12" i="10"/>
  <c r="O17" i="10" s="1"/>
  <c r="O95" i="10"/>
  <c r="O50" i="10"/>
  <c r="O42" i="10"/>
  <c r="O20" i="10"/>
  <c r="O78" i="10"/>
  <c r="O34" i="10"/>
  <c r="N49" i="10"/>
  <c r="O48" i="10"/>
  <c r="M48" i="4"/>
  <c r="N124" i="4"/>
  <c r="P20" i="12"/>
  <c r="P10" i="4"/>
  <c r="O19" i="12"/>
  <c r="O13" i="12"/>
  <c r="O16" i="12"/>
  <c r="L58" i="10"/>
  <c r="N37" i="5"/>
  <c r="M116" i="4"/>
  <c r="N100" i="10"/>
  <c r="N117" i="4"/>
  <c r="O59" i="4"/>
  <c r="O125" i="4" s="1"/>
  <c r="O49" i="4"/>
  <c r="O119" i="4"/>
  <c r="O58" i="4" s="1"/>
  <c r="O50" i="4"/>
  <c r="O70" i="4"/>
  <c r="O117" i="4" s="1"/>
  <c r="P10" i="10"/>
  <c r="O55" i="4"/>
  <c r="O11" i="4"/>
  <c r="O20" i="4" s="1"/>
  <c r="K54" i="4"/>
  <c r="M76" i="10"/>
  <c r="P201" i="12" l="1"/>
  <c r="P198" i="12"/>
  <c r="P195" i="12"/>
  <c r="P107" i="12"/>
  <c r="P110" i="12"/>
  <c r="P104" i="12"/>
  <c r="L32" i="5"/>
  <c r="L34" i="5" s="1"/>
  <c r="L131" i="4"/>
  <c r="O99" i="10"/>
  <c r="M58" i="10"/>
  <c r="L78" i="4"/>
  <c r="K29" i="4"/>
  <c r="O77" i="4"/>
  <c r="N94" i="10"/>
  <c r="N101" i="10" s="1"/>
  <c r="K132" i="4"/>
  <c r="L23" i="4"/>
  <c r="L67" i="4"/>
  <c r="L128" i="4" s="1"/>
  <c r="I35" i="4"/>
  <c r="I32" i="4"/>
  <c r="I33" i="4"/>
  <c r="J29" i="4"/>
  <c r="K32" i="5"/>
  <c r="K34" i="5" s="1"/>
  <c r="K39" i="5" s="1"/>
  <c r="K42" i="5" s="1"/>
  <c r="K127" i="4"/>
  <c r="K72" i="4"/>
  <c r="K79" i="4" s="1"/>
  <c r="N146" i="4"/>
  <c r="M12" i="4"/>
  <c r="M13" i="4" s="1"/>
  <c r="M18" i="4"/>
  <c r="M71" i="4" s="1"/>
  <c r="N55" i="10"/>
  <c r="M143" i="4"/>
  <c r="M148" i="4" s="1"/>
  <c r="L84" i="4"/>
  <c r="L71" i="4"/>
  <c r="L61" i="10"/>
  <c r="O123" i="4"/>
  <c r="L66" i="4"/>
  <c r="L13" i="4"/>
  <c r="L14" i="4"/>
  <c r="L15" i="4" s="1"/>
  <c r="L62" i="10"/>
  <c r="N56" i="10"/>
  <c r="M122" i="4"/>
  <c r="O11" i="10"/>
  <c r="O27" i="4"/>
  <c r="M121" i="4"/>
  <c r="Q10" i="4"/>
  <c r="P16" i="12"/>
  <c r="P13" i="12"/>
  <c r="P19" i="12"/>
  <c r="P59" i="4"/>
  <c r="P125" i="4" s="1"/>
  <c r="P55" i="4"/>
  <c r="P119" i="4"/>
  <c r="P58" i="4" s="1"/>
  <c r="Q10" i="10"/>
  <c r="P50" i="4"/>
  <c r="P49" i="4"/>
  <c r="P70" i="4"/>
  <c r="P117" i="4" s="1"/>
  <c r="P11" i="4"/>
  <c r="P20" i="4" s="1"/>
  <c r="O33" i="10"/>
  <c r="P32" i="10"/>
  <c r="N47" i="4"/>
  <c r="P57" i="10"/>
  <c r="O38" i="5"/>
  <c r="N136" i="4"/>
  <c r="N140" i="4" s="1"/>
  <c r="N60" i="10"/>
  <c r="M126" i="4"/>
  <c r="N65" i="4"/>
  <c r="P40" i="10"/>
  <c r="O41" i="10"/>
  <c r="N48" i="4"/>
  <c r="P48" i="10"/>
  <c r="O49" i="10"/>
  <c r="P78" i="10"/>
  <c r="P50" i="10"/>
  <c r="P12" i="10"/>
  <c r="P17" i="10" s="1"/>
  <c r="P95" i="10"/>
  <c r="P42" i="10"/>
  <c r="P20" i="10"/>
  <c r="P89" i="10"/>
  <c r="P34" i="10"/>
  <c r="O37" i="5"/>
  <c r="O100" i="10"/>
  <c r="N116" i="4"/>
  <c r="O130" i="4"/>
  <c r="O124" i="4"/>
  <c r="O18" i="10"/>
  <c r="M77" i="10"/>
  <c r="P124" i="4" l="1"/>
  <c r="L132" i="4"/>
  <c r="M23" i="4"/>
  <c r="L25" i="10"/>
  <c r="L26" i="10" s="1"/>
  <c r="P99" i="10"/>
  <c r="P77" i="4"/>
  <c r="P11" i="10"/>
  <c r="M66" i="4"/>
  <c r="N61" i="10" s="1"/>
  <c r="M62" i="10"/>
  <c r="M14" i="4"/>
  <c r="M15" i="4" s="1"/>
  <c r="L72" i="4"/>
  <c r="L79" i="4" s="1"/>
  <c r="N58" i="10"/>
  <c r="K25" i="10"/>
  <c r="K26" i="10" s="1"/>
  <c r="N143" i="4"/>
  <c r="N148" i="4" s="1"/>
  <c r="P123" i="4"/>
  <c r="I39" i="4"/>
  <c r="I36" i="4"/>
  <c r="I110" i="4"/>
  <c r="J88" i="10"/>
  <c r="J90" i="10" s="1"/>
  <c r="I85" i="4" s="1"/>
  <c r="I87" i="4" s="1"/>
  <c r="I89" i="4" s="1"/>
  <c r="M75" i="4"/>
  <c r="M131" i="4" s="1"/>
  <c r="M78" i="4"/>
  <c r="M132" i="4" s="1"/>
  <c r="M67" i="4"/>
  <c r="O55" i="10"/>
  <c r="L38" i="4"/>
  <c r="L112" i="4" s="1"/>
  <c r="L127" i="4"/>
  <c r="M61" i="10"/>
  <c r="N18" i="4"/>
  <c r="N71" i="4" s="1"/>
  <c r="N12" i="4"/>
  <c r="L63" i="10"/>
  <c r="L65" i="10" s="1"/>
  <c r="L36" i="5" s="1"/>
  <c r="L39" i="5" s="1"/>
  <c r="L42" i="5" s="1"/>
  <c r="L25" i="4"/>
  <c r="O146" i="4"/>
  <c r="M79" i="10"/>
  <c r="N122" i="4"/>
  <c r="Q57" i="10"/>
  <c r="P41" i="10"/>
  <c r="Q48" i="10"/>
  <c r="O48" i="4"/>
  <c r="P49" i="10"/>
  <c r="P27" i="4"/>
  <c r="M84" i="4"/>
  <c r="O94" i="10"/>
  <c r="O101" i="10" s="1"/>
  <c r="P130" i="4"/>
  <c r="Q59" i="4"/>
  <c r="Q125" i="4" s="1"/>
  <c r="Q49" i="4"/>
  <c r="Q70" i="4"/>
  <c r="Q130" i="4" s="1"/>
  <c r="Q50" i="4"/>
  <c r="Q55" i="4"/>
  <c r="Q119" i="4"/>
  <c r="Q58" i="4" s="1"/>
  <c r="R10" i="10"/>
  <c r="Q11" i="4"/>
  <c r="Q20" i="4" s="1"/>
  <c r="O65" i="4"/>
  <c r="Q40" i="10"/>
  <c r="N121" i="4"/>
  <c r="O136" i="4"/>
  <c r="O140" i="4" s="1"/>
  <c r="P38" i="5"/>
  <c r="O47" i="4"/>
  <c r="Q32" i="10"/>
  <c r="O56" i="10"/>
  <c r="P37" i="5"/>
  <c r="P100" i="10"/>
  <c r="O116" i="4"/>
  <c r="P33" i="10"/>
  <c r="P18" i="10"/>
  <c r="N126" i="4"/>
  <c r="O60" i="10"/>
  <c r="Q78" i="10"/>
  <c r="Q95" i="10"/>
  <c r="Q42" i="10"/>
  <c r="Q20" i="10"/>
  <c r="Q89" i="10"/>
  <c r="Q50" i="10"/>
  <c r="Q12" i="10"/>
  <c r="Q17" i="10" s="1"/>
  <c r="Q34" i="10"/>
  <c r="Q124" i="4" l="1"/>
  <c r="K31" i="4"/>
  <c r="K35" i="4" s="1"/>
  <c r="K39" i="4" s="1"/>
  <c r="I133" i="4"/>
  <c r="I152" i="4" s="1"/>
  <c r="I154" i="4" s="1"/>
  <c r="M127" i="4"/>
  <c r="M63" i="10"/>
  <c r="M65" i="10" s="1"/>
  <c r="M36" i="5" s="1"/>
  <c r="N78" i="4"/>
  <c r="N132" i="4" s="1"/>
  <c r="N23" i="4"/>
  <c r="N67" i="4"/>
  <c r="N128" i="4" s="1"/>
  <c r="O12" i="4"/>
  <c r="O66" i="4" s="1"/>
  <c r="M72" i="4"/>
  <c r="M79" i="4" s="1"/>
  <c r="Q99" i="10"/>
  <c r="M25" i="4"/>
  <c r="M35" i="5"/>
  <c r="N75" i="4"/>
  <c r="N131" i="4" s="1"/>
  <c r="Q77" i="4"/>
  <c r="O58" i="10"/>
  <c r="N76" i="10"/>
  <c r="N77" i="10" s="1"/>
  <c r="N79" i="10" s="1"/>
  <c r="L54" i="4"/>
  <c r="N14" i="4"/>
  <c r="N15" i="4" s="1"/>
  <c r="N66" i="4"/>
  <c r="J31" i="4"/>
  <c r="K87" i="10"/>
  <c r="M32" i="5"/>
  <c r="M34" i="5" s="1"/>
  <c r="L29" i="4"/>
  <c r="N13" i="4"/>
  <c r="O18" i="4"/>
  <c r="O67" i="4" s="1"/>
  <c r="M128" i="4"/>
  <c r="N62" i="10"/>
  <c r="N63" i="10" s="1"/>
  <c r="N65" i="10" s="1"/>
  <c r="N36" i="5" s="1"/>
  <c r="P55" i="10"/>
  <c r="P146" i="4"/>
  <c r="O143" i="4"/>
  <c r="O148" i="4" s="1"/>
  <c r="Q123" i="4"/>
  <c r="Q33" i="10"/>
  <c r="R57" i="10"/>
  <c r="Q117" i="4"/>
  <c r="O122" i="4"/>
  <c r="Q18" i="10"/>
  <c r="Q38" i="5"/>
  <c r="P136" i="4"/>
  <c r="P140" i="4" s="1"/>
  <c r="P94" i="10"/>
  <c r="P101" i="10" s="1"/>
  <c r="N84" i="4"/>
  <c r="R48" i="10"/>
  <c r="P48" i="4"/>
  <c r="Q49" i="10"/>
  <c r="R78" i="10"/>
  <c r="R12" i="10"/>
  <c r="R17" i="10" s="1"/>
  <c r="R20" i="10"/>
  <c r="R42" i="10"/>
  <c r="Q65" i="4" s="1"/>
  <c r="R50" i="10"/>
  <c r="R89" i="10"/>
  <c r="R95" i="10"/>
  <c r="R34" i="10"/>
  <c r="Q37" i="5"/>
  <c r="Q100" i="10"/>
  <c r="P116" i="4"/>
  <c r="O121" i="4"/>
  <c r="P60" i="10"/>
  <c r="O126" i="4"/>
  <c r="R40" i="10"/>
  <c r="Q41" i="10"/>
  <c r="P65" i="4"/>
  <c r="Q27" i="4"/>
  <c r="R32" i="10"/>
  <c r="P47" i="4"/>
  <c r="Q11" i="10"/>
  <c r="P56" i="10"/>
  <c r="K36" i="4" l="1"/>
  <c r="L88" i="10"/>
  <c r="K110" i="4"/>
  <c r="K133" i="4" s="1"/>
  <c r="K152" i="4" s="1"/>
  <c r="M29" i="4"/>
  <c r="N25" i="10" s="1"/>
  <c r="N26" i="10" s="1"/>
  <c r="K32" i="4"/>
  <c r="K33" i="4"/>
  <c r="J153" i="4"/>
  <c r="I46" i="4"/>
  <c r="I51" i="4" s="1"/>
  <c r="P61" i="10"/>
  <c r="O14" i="4"/>
  <c r="O15" i="4" s="1"/>
  <c r="N72" i="4"/>
  <c r="N79" i="4" s="1"/>
  <c r="O127" i="4"/>
  <c r="O62" i="10"/>
  <c r="O13" i="4"/>
  <c r="R99" i="10"/>
  <c r="N32" i="5"/>
  <c r="N34" i="5" s="1"/>
  <c r="M39" i="5"/>
  <c r="M42" i="5" s="1"/>
  <c r="P58" i="10"/>
  <c r="O23" i="4"/>
  <c r="O75" i="4"/>
  <c r="O131" i="4" s="1"/>
  <c r="O71" i="4"/>
  <c r="O72" i="4" s="1"/>
  <c r="O78" i="4"/>
  <c r="Q146" i="4"/>
  <c r="M25" i="10"/>
  <c r="M26" i="10" s="1"/>
  <c r="O61" i="10"/>
  <c r="N127" i="4"/>
  <c r="Q48" i="4"/>
  <c r="R56" i="10" s="1"/>
  <c r="M38" i="4"/>
  <c r="M112" i="4" s="1"/>
  <c r="P12" i="4"/>
  <c r="P66" i="4" s="1"/>
  <c r="J35" i="4"/>
  <c r="J32" i="4"/>
  <c r="J33" i="4"/>
  <c r="P18" i="4"/>
  <c r="Q56" i="10"/>
  <c r="P143" i="4"/>
  <c r="P148" i="4" s="1"/>
  <c r="N25" i="4"/>
  <c r="P122" i="4"/>
  <c r="R11" i="10"/>
  <c r="R49" i="10"/>
  <c r="P121" i="4"/>
  <c r="Q55" i="10"/>
  <c r="R41" i="10"/>
  <c r="R38" i="5"/>
  <c r="Q136" i="4"/>
  <c r="Q140" i="4" s="1"/>
  <c r="O84" i="4"/>
  <c r="Q94" i="10"/>
  <c r="Q101" i="10" s="1"/>
  <c r="R18" i="10"/>
  <c r="Q47" i="4"/>
  <c r="Q121" i="4" s="1"/>
  <c r="R33" i="10"/>
  <c r="R37" i="5"/>
  <c r="Q116" i="4"/>
  <c r="R100" i="10"/>
  <c r="P126" i="4"/>
  <c r="Q60" i="10"/>
  <c r="O128" i="4"/>
  <c r="O76" i="10"/>
  <c r="M54" i="4"/>
  <c r="M31" i="4" l="1"/>
  <c r="M33" i="4" s="1"/>
  <c r="O25" i="4"/>
  <c r="O29" i="4" s="1"/>
  <c r="O63" i="10"/>
  <c r="O65" i="10" s="1"/>
  <c r="O36" i="5" s="1"/>
  <c r="O132" i="4"/>
  <c r="O79" i="4"/>
  <c r="N35" i="5"/>
  <c r="N39" i="5" s="1"/>
  <c r="N42" i="5" s="1"/>
  <c r="P62" i="10"/>
  <c r="P63" i="10" s="1"/>
  <c r="P65" i="10" s="1"/>
  <c r="P36" i="5" s="1"/>
  <c r="Q58" i="10"/>
  <c r="R60" i="10"/>
  <c r="Q126" i="4"/>
  <c r="P14" i="4"/>
  <c r="P15" i="4" s="1"/>
  <c r="P13" i="4"/>
  <c r="Q122" i="4"/>
  <c r="Q12" i="4"/>
  <c r="Q66" i="4" s="1"/>
  <c r="Q143" i="4"/>
  <c r="Q148" i="4" s="1"/>
  <c r="Q18" i="4"/>
  <c r="Q67" i="4" s="1"/>
  <c r="N29" i="4"/>
  <c r="O32" i="5"/>
  <c r="O34" i="5" s="1"/>
  <c r="L31" i="4"/>
  <c r="P67" i="4"/>
  <c r="P23" i="4"/>
  <c r="P75" i="4"/>
  <c r="P131" i="4" s="1"/>
  <c r="P78" i="4"/>
  <c r="P71" i="4"/>
  <c r="K88" i="10"/>
  <c r="K90" i="10" s="1"/>
  <c r="J36" i="4"/>
  <c r="J39" i="4"/>
  <c r="J110" i="4"/>
  <c r="R94" i="10"/>
  <c r="R101" i="10" s="1"/>
  <c r="P84" i="4"/>
  <c r="R55" i="10"/>
  <c r="R58" i="10" s="1"/>
  <c r="P127" i="4"/>
  <c r="Q61" i="10"/>
  <c r="O77" i="10"/>
  <c r="M35" i="4" l="1"/>
  <c r="M32" i="4"/>
  <c r="P25" i="10"/>
  <c r="P26" i="10" s="1"/>
  <c r="O31" i="4" s="1"/>
  <c r="O35" i="4" s="1"/>
  <c r="P32" i="5"/>
  <c r="P34" i="5" s="1"/>
  <c r="J133" i="4"/>
  <c r="J152" i="4" s="1"/>
  <c r="J154" i="4" s="1"/>
  <c r="Q14" i="4"/>
  <c r="Q15" i="4" s="1"/>
  <c r="Q13" i="4"/>
  <c r="P25" i="4"/>
  <c r="Q127" i="4"/>
  <c r="R61" i="10"/>
  <c r="Q78" i="4"/>
  <c r="Q71" i="4"/>
  <c r="Q72" i="4" s="1"/>
  <c r="Q23" i="4"/>
  <c r="P72" i="4"/>
  <c r="P79" i="4" s="1"/>
  <c r="Q75" i="4"/>
  <c r="Q131" i="4" s="1"/>
  <c r="J85" i="4"/>
  <c r="J87" i="4" s="1"/>
  <c r="J89" i="4" s="1"/>
  <c r="L87" i="10"/>
  <c r="L90" i="10" s="1"/>
  <c r="P132" i="4"/>
  <c r="L35" i="4"/>
  <c r="L32" i="4"/>
  <c r="L33" i="4"/>
  <c r="Q62" i="10"/>
  <c r="Q63" i="10" s="1"/>
  <c r="Q65" i="10" s="1"/>
  <c r="Q36" i="5" s="1"/>
  <c r="P128" i="4"/>
  <c r="N38" i="4"/>
  <c r="O35" i="5" s="1"/>
  <c r="O39" i="5" s="1"/>
  <c r="O42" i="5" s="1"/>
  <c r="Q84" i="4"/>
  <c r="O25" i="10"/>
  <c r="O26" i="10" s="1"/>
  <c r="O79" i="10"/>
  <c r="Q128" i="4"/>
  <c r="M36" i="4" l="1"/>
  <c r="M110" i="4"/>
  <c r="M133" i="4" s="1"/>
  <c r="M152" i="4" s="1"/>
  <c r="N88" i="10"/>
  <c r="M39" i="4"/>
  <c r="Q32" i="5"/>
  <c r="Q34" i="5" s="1"/>
  <c r="Q25" i="4"/>
  <c r="Q29" i="4" s="1"/>
  <c r="K153" i="4"/>
  <c r="K154" i="4" s="1"/>
  <c r="L153" i="4" s="1"/>
  <c r="J46" i="4"/>
  <c r="J51" i="4" s="1"/>
  <c r="P29" i="4"/>
  <c r="O32" i="4"/>
  <c r="O33" i="4"/>
  <c r="Q79" i="4"/>
  <c r="Q132" i="4"/>
  <c r="R62" i="10"/>
  <c r="R63" i="10" s="1"/>
  <c r="R65" i="10" s="1"/>
  <c r="R36" i="5" s="1"/>
  <c r="K85" i="4"/>
  <c r="K87" i="4" s="1"/>
  <c r="K89" i="4" s="1"/>
  <c r="M87" i="10"/>
  <c r="O36" i="4"/>
  <c r="N112" i="4"/>
  <c r="O110" i="4"/>
  <c r="N31" i="4"/>
  <c r="L39" i="4"/>
  <c r="L110" i="4"/>
  <c r="L36" i="4"/>
  <c r="M88" i="10"/>
  <c r="N54" i="4"/>
  <c r="P76" i="10"/>
  <c r="P77" i="10" s="1"/>
  <c r="P88" i="10"/>
  <c r="K46" i="4" l="1"/>
  <c r="K51" i="4" s="1"/>
  <c r="R32" i="5"/>
  <c r="R34" i="5" s="1"/>
  <c r="R25" i="10"/>
  <c r="R26" i="10" s="1"/>
  <c r="Q31" i="4" s="1"/>
  <c r="Q35" i="4" s="1"/>
  <c r="L133" i="4"/>
  <c r="L152" i="4" s="1"/>
  <c r="L154" i="4" s="1"/>
  <c r="L46" i="4" s="1"/>
  <c r="L51" i="4" s="1"/>
  <c r="Q25" i="10"/>
  <c r="Q26" i="10" s="1"/>
  <c r="M90" i="10"/>
  <c r="O38" i="4"/>
  <c r="P35" i="5" s="1"/>
  <c r="P39" i="5" s="1"/>
  <c r="P42" i="5" s="1"/>
  <c r="N33" i="4"/>
  <c r="N32" i="4"/>
  <c r="N35" i="4"/>
  <c r="P79" i="10"/>
  <c r="P31" i="4" l="1"/>
  <c r="O39" i="4"/>
  <c r="M153" i="4"/>
  <c r="M154" i="4" s="1"/>
  <c r="N153" i="4" s="1"/>
  <c r="O112" i="4"/>
  <c r="L85" i="4"/>
  <c r="L87" i="4" s="1"/>
  <c r="L89" i="4" s="1"/>
  <c r="N87" i="10"/>
  <c r="N90" i="10" s="1"/>
  <c r="Q33" i="4"/>
  <c r="Q32" i="4"/>
  <c r="Q76" i="10"/>
  <c r="Q77" i="10" s="1"/>
  <c r="Q110" i="4"/>
  <c r="N110" i="4"/>
  <c r="O88" i="10"/>
  <c r="N36" i="4"/>
  <c r="N39" i="4"/>
  <c r="R88" i="10"/>
  <c r="Q36" i="4"/>
  <c r="O54" i="4"/>
  <c r="O133" i="4" l="1"/>
  <c r="O152" i="4" s="1"/>
  <c r="N133" i="4"/>
  <c r="N152" i="4" s="1"/>
  <c r="N154" i="4" s="1"/>
  <c r="N46" i="4" s="1"/>
  <c r="N51" i="4" s="1"/>
  <c r="P35" i="4"/>
  <c r="P32" i="4"/>
  <c r="P33" i="4"/>
  <c r="M46" i="4"/>
  <c r="M51" i="4" s="1"/>
  <c r="M85" i="4"/>
  <c r="M87" i="4" s="1"/>
  <c r="M89" i="4" s="1"/>
  <c r="O87" i="10"/>
  <c r="O90" i="10" s="1"/>
  <c r="P38" i="4"/>
  <c r="P112" i="4" s="1"/>
  <c r="Q79" i="10"/>
  <c r="P36" i="4" l="1"/>
  <c r="Q88" i="10"/>
  <c r="P110" i="4"/>
  <c r="P133" i="4" s="1"/>
  <c r="P152" i="4" s="1"/>
  <c r="O153" i="4"/>
  <c r="O154" i="4" s="1"/>
  <c r="P153" i="4" s="1"/>
  <c r="P54" i="4"/>
  <c r="P39" i="4"/>
  <c r="N85" i="4"/>
  <c r="N87" i="4" s="1"/>
  <c r="N89" i="4" s="1"/>
  <c r="P87" i="10"/>
  <c r="P90" i="10" s="1"/>
  <c r="Q35" i="5"/>
  <c r="Q39" i="5" s="1"/>
  <c r="Q42" i="5" s="1"/>
  <c r="R76" i="10"/>
  <c r="R77" i="10" s="1"/>
  <c r="P154" i="4" l="1"/>
  <c r="P46" i="4" s="1"/>
  <c r="P51" i="4" s="1"/>
  <c r="O46" i="4"/>
  <c r="O51" i="4" s="1"/>
  <c r="O85" i="4"/>
  <c r="O87" i="4" s="1"/>
  <c r="O89" i="4" s="1"/>
  <c r="Q87" i="10"/>
  <c r="Q90" i="10" s="1"/>
  <c r="Q38" i="4"/>
  <c r="Q39" i="4" s="1"/>
  <c r="R79" i="10"/>
  <c r="Q153" i="4" l="1"/>
  <c r="R35" i="5"/>
  <c r="R39" i="5" s="1"/>
  <c r="D49" i="5" s="1"/>
  <c r="Q112" i="4"/>
  <c r="P85" i="4"/>
  <c r="P87" i="4" s="1"/>
  <c r="P89" i="4" s="1"/>
  <c r="R87" i="10"/>
  <c r="R90" i="10" s="1"/>
  <c r="Q54" i="4"/>
  <c r="Q133" i="4" l="1"/>
  <c r="Q152" i="4" s="1"/>
  <c r="Q154" i="4" s="1"/>
  <c r="Q46" i="4" s="1"/>
  <c r="Q51" i="4" s="1"/>
  <c r="R42" i="5"/>
  <c r="D51" i="5" s="1"/>
  <c r="D53" i="5" s="1"/>
  <c r="D57" i="5" s="1"/>
  <c r="D59" i="5" s="1"/>
  <c r="G48" i="5" s="1"/>
  <c r="Q85" i="4"/>
  <c r="Q87" i="4" s="1"/>
  <c r="Q89" i="4" s="1"/>
  <c r="D61" i="5" l="1"/>
  <c r="D50" i="5"/>
  <c r="D52" i="5"/>
  <c r="H60" i="4" l="1"/>
  <c r="H91" i="4" s="1"/>
  <c r="I60" i="4" l="1"/>
  <c r="I91" i="4" s="1"/>
  <c r="J60" i="4" l="1"/>
  <c r="J91" i="4" s="1"/>
  <c r="K60" i="4" l="1"/>
  <c r="K91" i="4" s="1"/>
  <c r="L60" i="4" l="1"/>
  <c r="L91" i="4" s="1"/>
  <c r="M60" i="4" l="1"/>
  <c r="M91" i="4" s="1"/>
  <c r="P60" i="4" l="1"/>
  <c r="P91" i="4" s="1"/>
  <c r="O60" i="4"/>
  <c r="O91" i="4" s="1"/>
  <c r="N60" i="4"/>
  <c r="N91" i="4" s="1"/>
  <c r="Q60" i="4"/>
  <c r="Q9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W</author>
  </authors>
  <commentList>
    <comment ref="I13" authorId="0" shapeId="0" xr:uid="{E92299A6-4EAB-44D8-B4FD-1476D35EEF6B}">
      <text>
        <r>
          <rPr>
            <b/>
            <sz val="9"/>
            <color indexed="81"/>
            <rFont val="Tahoma"/>
            <family val="2"/>
          </rPr>
          <t>Michael W:</t>
        </r>
        <r>
          <rPr>
            <sz val="9"/>
            <color indexed="81"/>
            <rFont val="Tahoma"/>
            <family val="2"/>
          </rPr>
          <t xml:space="preserve">
Increase in Gross Margin derived from likely new CEO candidate Jane Nielsen. As she has not assumed control in FY25, no changes are applied to gross margin</t>
        </r>
      </text>
    </comment>
    <comment ref="J13" authorId="0" shapeId="0" xr:uid="{B1844FDE-01D9-447B-AA29-DFC807CAC424}">
      <text>
        <r>
          <rPr>
            <b/>
            <sz val="9"/>
            <color indexed="81"/>
            <rFont val="Tahoma"/>
            <family val="2"/>
          </rPr>
          <t>Michael W:</t>
        </r>
        <r>
          <rPr>
            <sz val="9"/>
            <color indexed="81"/>
            <rFont val="Tahoma"/>
            <family val="2"/>
          </rPr>
          <t xml:space="preserve">
Assumes Jane Nielsen takes control as CEO, implements measures which immediately improve Gross Margin by 0.6%</t>
        </r>
      </text>
    </comment>
    <comment ref="K13" authorId="0" shapeId="0" xr:uid="{31D465C4-9C18-4502-868A-9F0EFF9606BC}">
      <text>
        <r>
          <rPr>
            <b/>
            <sz val="9"/>
            <color indexed="81"/>
            <rFont val="Tahoma"/>
            <family val="2"/>
          </rPr>
          <t>Michael W:</t>
        </r>
        <r>
          <rPr>
            <sz val="9"/>
            <color indexed="81"/>
            <rFont val="Tahoma"/>
            <family val="2"/>
          </rPr>
          <t xml:space="preserve">
Assumes Jane Nielsen continually improves operations, improving Gross Margin by 0.2% per year until FY30, after which it horizons.</t>
        </r>
      </text>
    </comment>
    <comment ref="I21" authorId="0" shapeId="0" xr:uid="{9CA959CE-274A-42BC-9526-0A5FBDA1FBB9}">
      <text>
        <r>
          <rPr>
            <b/>
            <sz val="9"/>
            <color indexed="81"/>
            <rFont val="Tahoma"/>
            <family val="2"/>
          </rPr>
          <t>Michael W:</t>
        </r>
        <r>
          <rPr>
            <sz val="9"/>
            <color indexed="81"/>
            <rFont val="Tahoma"/>
            <family val="2"/>
          </rPr>
          <t xml:space="preserve">
Operating margins should largely remain where they currently are, as no structural changes are planned to affect this area</t>
        </r>
      </text>
    </comment>
    <comment ref="I92" authorId="0" shapeId="0" xr:uid="{4C2C1F68-5BF1-4745-97C1-A04D50B58870}">
      <text>
        <r>
          <rPr>
            <b/>
            <sz val="9"/>
            <color indexed="81"/>
            <rFont val="Tahoma"/>
            <family val="2"/>
          </rPr>
          <t>Michael W:</t>
        </r>
        <r>
          <rPr>
            <sz val="9"/>
            <color indexed="81"/>
            <rFont val="Tahoma"/>
            <family val="2"/>
          </rPr>
          <t xml:space="preserve">
Our thesis is centered around lululemon increasing share buybacks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tc={969EB72F-8120-4129-A8F5-D819E8763961}</author>
    <author>tc={E949228C-9487-4CD2-B901-ED1D363C0B35}</author>
    <author>tc={28B23F62-D60B-42A9-B7B4-E547DE690B3A}</author>
    <author>tc={3D0C4C39-71E7-4D3F-AFCB-77D9AC0B8FAF}</author>
    <author>tc={D130C271-52FF-4D76-BCEB-AFA2EAAC4974}</author>
    <author>tc={98316FB2-8A92-4141-B4DC-68CDB5247BD1}</author>
  </authors>
  <commentList>
    <comment ref="G28" authorId="0" shapeId="0" xr:uid="{969EB72F-8120-4129-A8F5-D819E8763961}">
      <text>
        <t>[Threaded comment]
Your version of Excel allows you to read this threaded comment; however, any edits to it will get removed if the file is opened in a newer version of Excel. Learn more: https://go.microsoft.com/fwlink/?linkid=870924
Comment:
    Artificial estimate required. -2% growth rate is an outlier, and will be corrected due to improving macro conditions in FY25E</t>
      </text>
    </comment>
    <comment ref="G75" authorId="1" shapeId="0" xr:uid="{E949228C-9487-4CD2-B901-ED1D363C0B3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Correction required from -2% to 2% in FY25E. We believe -2% in FY24A is mainly due to macro trends and will reverse course in FY25E</t>
      </text>
    </comment>
    <comment ref="G85" authorId="2" shapeId="0" xr:uid="{28B23F62-D60B-42A9-B7B4-E547DE690B3A}">
      <text>
        <t>[Threaded comment]
Your version of Excel allows you to read this threaded comment; however, any edits to it will get removed if the file is opened in a newer version of Excel. Learn more: https://go.microsoft.com/fwlink/?linkid=870924
Comment:
    We believe male demand will increase this year as a result of Lululemon beginning to target the male audience as a key demographic</t>
      </text>
    </comment>
    <comment ref="G119" authorId="3" shapeId="0" xr:uid="{3D0C4C39-71E7-4D3F-AFCB-77D9AC0B8FAF}">
      <text>
        <t>[Threaded comment]
Your version of Excel allows you to read this threaded comment; however, any edits to it will get removed if the file is opened in a newer version of Excel. Learn more: https://go.microsoft.com/fwlink/?linkid=870924
Comment:
    Artificial estimate required. -2% growth rate is an outlier, and will be corrected due to improving macro conditions in FY25E</t>
      </text>
    </comment>
    <comment ref="G166" authorId="4" shapeId="0" xr:uid="{D130C271-52FF-4D76-BCEB-AFA2EAAC49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Correction required from -2% to 2% in FY25E. We believe -2% in FY24A is mainly due to macro trends and will reverse course in FY25E</t>
      </text>
    </comment>
    <comment ref="G176" authorId="5" shapeId="0" xr:uid="{98316FB2-8A92-4141-B4DC-68CDB5247BD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believe male demand will increase this year as a result of Lululemon beginning to target the male audience as a key demographic</t>
      </text>
    </comment>
  </commentList>
</comments>
</file>

<file path=xl/sharedStrings.xml><?xml version="1.0" encoding="utf-8"?>
<sst xmlns="http://schemas.openxmlformats.org/spreadsheetml/2006/main" count="806" uniqueCount="459">
  <si>
    <t>Company</t>
  </si>
  <si>
    <t>Ticker</t>
  </si>
  <si>
    <t>Price</t>
  </si>
  <si>
    <t>Team Number</t>
  </si>
  <si>
    <t>Sauder Capital Markets Challenge</t>
  </si>
  <si>
    <t>First Round Case</t>
  </si>
  <si>
    <t>Case Sponsor</t>
  </si>
  <si>
    <t>Gold Sponsor</t>
  </si>
  <si>
    <t>Board of Directors</t>
  </si>
  <si>
    <t>General Instructions</t>
  </si>
  <si>
    <t>Follow the color and formatting guide below</t>
  </si>
  <si>
    <t>Keep all financial statements on an annual basis</t>
  </si>
  <si>
    <t>All figures should be in $USDm unless otherwise specified</t>
  </si>
  <si>
    <t xml:space="preserve">Do not overwrite formulas on the existing model. Add new lines only. </t>
  </si>
  <si>
    <t>Keep all schedules in the "Supporting Schedules" tab</t>
  </si>
  <si>
    <t>Color Formatting Guide</t>
  </si>
  <si>
    <t>Color</t>
  </si>
  <si>
    <t>Description</t>
  </si>
  <si>
    <t>Hex Code</t>
  </si>
  <si>
    <t>Blue</t>
  </si>
  <si>
    <t>#0000FF</t>
  </si>
  <si>
    <t>Black</t>
  </si>
  <si>
    <t>Formulas; calculated values</t>
  </si>
  <si>
    <t>#000000</t>
  </si>
  <si>
    <t>Green</t>
  </si>
  <si>
    <t>Reference within sheet</t>
  </si>
  <si>
    <t>#009B00</t>
  </si>
  <si>
    <t>Red</t>
  </si>
  <si>
    <t>Reference to another sheet</t>
  </si>
  <si>
    <t>#FF0000</t>
  </si>
  <si>
    <t>Yellow Fill</t>
  </si>
  <si>
    <t>Forecasted figures</t>
  </si>
  <si>
    <t>#FFF2CC</t>
  </si>
  <si>
    <t>Number Formatting Guide</t>
  </si>
  <si>
    <t>Example</t>
  </si>
  <si>
    <t>Format</t>
  </si>
  <si>
    <t>Whole number value</t>
  </si>
  <si>
    <t>#,##0; (#,##0);-</t>
  </si>
  <si>
    <t>Percentage</t>
  </si>
  <si>
    <t>0.00%;(0.00%);-</t>
  </si>
  <si>
    <t>Decimated number</t>
  </si>
  <si>
    <t>0.00;(0.00);-</t>
  </si>
  <si>
    <t>Multiple</t>
  </si>
  <si>
    <t>0.00x;(0.00x);-</t>
  </si>
  <si>
    <t xml:space="preserve"> </t>
  </si>
  <si>
    <t xml:space="preserve">Financial Model </t>
  </si>
  <si>
    <t>Financial Statements</t>
  </si>
  <si>
    <t>Years</t>
  </si>
  <si>
    <t>Income Statement</t>
  </si>
  <si>
    <t>Revenue</t>
  </si>
  <si>
    <t>Revenue Growth %</t>
  </si>
  <si>
    <t>Cost of Goods Sold</t>
  </si>
  <si>
    <t>Equals: Gross Profit</t>
  </si>
  <si>
    <t>Gross Profit %</t>
  </si>
  <si>
    <t>Operating Expenses</t>
  </si>
  <si>
    <t>Selling, General &amp; Administrative</t>
  </si>
  <si>
    <t>Total Operating Expenses</t>
  </si>
  <si>
    <t>EBITDA</t>
  </si>
  <si>
    <t>Depreciation &amp; Amortization</t>
  </si>
  <si>
    <t>EBIT</t>
  </si>
  <si>
    <t xml:space="preserve">EBT </t>
  </si>
  <si>
    <t>Income Tax Expense</t>
  </si>
  <si>
    <t>Net Income (Loss)</t>
  </si>
  <si>
    <t>Net Income %</t>
  </si>
  <si>
    <t>Balance Sheet</t>
  </si>
  <si>
    <t>Assets</t>
  </si>
  <si>
    <t>Current Assets</t>
  </si>
  <si>
    <t>Cash And Cash Equivalents</t>
  </si>
  <si>
    <t xml:space="preserve">Accounts &amp; Other Recievables </t>
  </si>
  <si>
    <t>Total Current Assets</t>
  </si>
  <si>
    <t>Non-Current Assets</t>
  </si>
  <si>
    <t>Other Non-Current Assets</t>
  </si>
  <si>
    <t>Total Assets</t>
  </si>
  <si>
    <t>Liabilities</t>
  </si>
  <si>
    <t>Current Liabilities</t>
  </si>
  <si>
    <t>Accounts Payable</t>
  </si>
  <si>
    <t>Current Portion of Leases</t>
  </si>
  <si>
    <t>Other Current Liabilities</t>
  </si>
  <si>
    <t>Total Current Liabilities</t>
  </si>
  <si>
    <t>Non-Current Liabilities</t>
  </si>
  <si>
    <t>Other Non-Current Liabilities</t>
  </si>
  <si>
    <t>Total Liabilities</t>
    <phoneticPr fontId="0" type="noConversion"/>
  </si>
  <si>
    <t>Shareholders' Equity</t>
  </si>
  <si>
    <t>Common Stock</t>
  </si>
  <si>
    <t>Additional Paid in Capital</t>
  </si>
  <si>
    <t xml:space="preserve">Retained Earnings </t>
  </si>
  <si>
    <t>Comprehensive Income &amp; Other</t>
  </si>
  <si>
    <t>Total Shareholders' Equity</t>
    <phoneticPr fontId="0" type="noConversion"/>
  </si>
  <si>
    <t>Check: A = L + E</t>
  </si>
  <si>
    <t>Cash Flow Statement</t>
  </si>
  <si>
    <t>Net Income</t>
  </si>
  <si>
    <t>Change in Net Working Capital</t>
  </si>
  <si>
    <t>Cash Flow from Operating Activities</t>
  </si>
  <si>
    <t>Capital Expenditures</t>
  </si>
  <si>
    <t>Other Investing Activities</t>
  </si>
  <si>
    <t>Cash Flow from Investing Activities</t>
  </si>
  <si>
    <t xml:space="preserve">Other Financing Activites </t>
  </si>
  <si>
    <t>Cash Flow from Financing Activities</t>
  </si>
  <si>
    <t>Effect of Foreign Exchange Rates</t>
  </si>
  <si>
    <t>DCF Valuation</t>
  </si>
  <si>
    <t>Input Assumptions</t>
  </si>
  <si>
    <t>Capital Structure</t>
  </si>
  <si>
    <t>Equity</t>
  </si>
  <si>
    <t>% Equity</t>
  </si>
  <si>
    <t>Debt</t>
  </si>
  <si>
    <t>Total Capitalization</t>
  </si>
  <si>
    <t>Weighted Average Cost of Capital (WACC)</t>
  </si>
  <si>
    <t>Risk Free Rate</t>
  </si>
  <si>
    <t>Beta</t>
  </si>
  <si>
    <t>Cost of Equity</t>
  </si>
  <si>
    <t>Pre-Tax Cost of Debt</t>
  </si>
  <si>
    <t>Effective Tax Rate</t>
  </si>
  <si>
    <t>After Tax Cost Of Debt</t>
  </si>
  <si>
    <t>WACC</t>
  </si>
  <si>
    <t>Unlevered Free Cash Flow Calculation</t>
  </si>
  <si>
    <t>Times: (1 - Tax Rate)</t>
  </si>
  <si>
    <t xml:space="preserve">Equals: NOPAT </t>
  </si>
  <si>
    <t>Plus: Depreciation &amp; Amortization</t>
  </si>
  <si>
    <t>Plus: Change In Working Capital</t>
  </si>
  <si>
    <t>Plus: Non Cash Expenses</t>
  </si>
  <si>
    <t>Less: Capital Expenditures</t>
  </si>
  <si>
    <t>Equals: Unlevered Free Cash Flow</t>
  </si>
  <si>
    <t xml:space="preserve">Times: Discount Period </t>
  </si>
  <si>
    <t>Equals: Present Value of Unlevered Free Cash Flow</t>
  </si>
  <si>
    <t>Discounted Cash Flow Valuation</t>
  </si>
  <si>
    <t>Perpetuity Growth Method</t>
  </si>
  <si>
    <t>Perpetuity Growth Rate</t>
  </si>
  <si>
    <t>Present Value of Terminal Value</t>
  </si>
  <si>
    <t>Plus: Present Value of Forecast FCF</t>
  </si>
  <si>
    <t>Equals: Enterprise Value</t>
  </si>
  <si>
    <t>Equals: Equity Value</t>
  </si>
  <si>
    <t>Divided By: Fully Diluted Shares Outstanding</t>
  </si>
  <si>
    <t>Equals: Implied Share Price</t>
  </si>
  <si>
    <t>Current Share Price</t>
  </si>
  <si>
    <t>Implied Upside</t>
  </si>
  <si>
    <t>Comparable Companies Analysis</t>
  </si>
  <si>
    <t>Equity Value</t>
  </si>
  <si>
    <t>Net Debt</t>
  </si>
  <si>
    <t>Enterprise Value</t>
  </si>
  <si>
    <t>Comparable Companies: Peer Universe</t>
  </si>
  <si>
    <t>(All figures in USDm unless otherwise specified)</t>
  </si>
  <si>
    <t>EV/EBITDA</t>
  </si>
  <si>
    <t>Company Name</t>
  </si>
  <si>
    <t>Year End</t>
  </si>
  <si>
    <t>Market Cap</t>
  </si>
  <si>
    <t>Median</t>
  </si>
  <si>
    <t>Implied Equity Value</t>
  </si>
  <si>
    <t>Metric</t>
  </si>
  <si>
    <t xml:space="preserve">Median </t>
  </si>
  <si>
    <t>Upper Limit</t>
  </si>
  <si>
    <t>EV/EBITDA 2024A</t>
  </si>
  <si>
    <t>EV/EBITDA 2025E</t>
  </si>
  <si>
    <t>EV/EBITDA 2026E</t>
  </si>
  <si>
    <t>P/E 2024A</t>
  </si>
  <si>
    <t>P/E 2025E</t>
  </si>
  <si>
    <t>P/E 2026E</t>
  </si>
  <si>
    <t>Target</t>
  </si>
  <si>
    <t>Working Capital - FILL OUT IF NEEDED</t>
  </si>
  <si>
    <t>Plus: Net Income</t>
  </si>
  <si>
    <t>Mean</t>
  </si>
  <si>
    <t>Comparable Companies Valuation</t>
  </si>
  <si>
    <t>Do not delete or add any tabs</t>
  </si>
  <si>
    <t>DCF Valuation Instructions</t>
  </si>
  <si>
    <t>Lower Limit</t>
  </si>
  <si>
    <t>Price (USD)</t>
  </si>
  <si>
    <t>Diluted Shares Outstanding (m)</t>
  </si>
  <si>
    <t>Current Share Price (USD)</t>
  </si>
  <si>
    <t>Implied Share Price (USD)</t>
  </si>
  <si>
    <t>Implied Return (%)</t>
  </si>
  <si>
    <t>Minimum</t>
  </si>
  <si>
    <t>Maximum</t>
  </si>
  <si>
    <t>Acquirer</t>
  </si>
  <si>
    <t>Precedents Transactions</t>
  </si>
  <si>
    <t>Announcement Date</t>
  </si>
  <si>
    <t>LTM EBITDA</t>
  </si>
  <si>
    <t>LTM Net Income</t>
  </si>
  <si>
    <t>Transaction Value</t>
  </si>
  <si>
    <t>Financial Data</t>
  </si>
  <si>
    <t>LTM Revenue</t>
  </si>
  <si>
    <t>LTM EPS</t>
  </si>
  <si>
    <t>LTM Multiples</t>
  </si>
  <si>
    <t>TV / Revenue</t>
  </si>
  <si>
    <t>TV / EBITDA</t>
  </si>
  <si>
    <t>Offer Price / EPS</t>
  </si>
  <si>
    <t>Valuation</t>
  </si>
  <si>
    <t>Less: Net Debt</t>
  </si>
  <si>
    <t>Precedent Transaction Analysis</t>
  </si>
  <si>
    <t>Pull the company's historical financials from its filings or a data provider</t>
  </si>
  <si>
    <t>Map the figures into the Financial Statements tab and use the same name lines as the template</t>
  </si>
  <si>
    <t>Add or remove detail by inserting new rows while keeping the final subtotals aligned</t>
  </si>
  <si>
    <t>Ensure all new rows link correctly to the relevant totals</t>
  </si>
  <si>
    <t>If historical numbers require reclassification, adjust them so that revenue, COGS, operating costs, depreciation, taxes, working capital, capital spending, and interest items align with the structure given</t>
  </si>
  <si>
    <t>Forecast revenue, margins, operating costs, depreciation, interest, taxes, and any other required items</t>
  </si>
  <si>
    <t>Keep formulas in black for any pattern that repeats across multiple periods</t>
  </si>
  <si>
    <t>Create supporting schedules to drive items in the cash flow statement and tie them into the balance sheet; suggested schedules are in the Supporting Schedules tab</t>
  </si>
  <si>
    <t>Go to the DCF valuation tab and link free cash flow from the statements</t>
  </si>
  <si>
    <t>Compute the present value of each free cash flow year in black</t>
  </si>
  <si>
    <t>Enter WACC inputs, terminal growth, and other assumptions in blue in the yellow input box</t>
  </si>
  <si>
    <t>Confirm that the model produces a final implied share price and implied upside</t>
  </si>
  <si>
    <t>Optional: add charts, summary tables, and additional outputs for presentation use</t>
  </si>
  <si>
    <t>Formatting Guides</t>
  </si>
  <si>
    <t>Comparable &amp; Precedent Transaction Valuation  Instructions</t>
  </si>
  <si>
    <t>Instructions</t>
  </si>
  <si>
    <t>Select comparable companies and precedent transactions</t>
  </si>
  <si>
    <t>Rationale</t>
  </si>
  <si>
    <t>Include rationale  briefly in far right column for the precedent transactions</t>
  </si>
  <si>
    <t>Populate cells with comparable companies' relevant data points</t>
  </si>
  <si>
    <t>Populate cells with precedent transactions relevant deal multiples</t>
  </si>
  <si>
    <t>Fill out target company's relevant financial data points</t>
  </si>
  <si>
    <t>Upon all fields being completed, an implied transaction value will populate</t>
  </si>
  <si>
    <t>Teams are permitted to use Generative AI to learn concepts; other uses must be disclosed in the pitch deck as references</t>
  </si>
  <si>
    <t>Hardcoded values</t>
  </si>
  <si>
    <t>Less: Non-controlling Interest</t>
  </si>
  <si>
    <t>Supporting Schedules</t>
  </si>
  <si>
    <t>Less: Debt</t>
  </si>
  <si>
    <t>% Debt</t>
  </si>
  <si>
    <t>Expected Market Return</t>
  </si>
  <si>
    <t>Market Risk Premium</t>
  </si>
  <si>
    <t>Terminal Value as % of Enterprise Value</t>
  </si>
  <si>
    <t>Forecast Period as % of Enterprise Value</t>
  </si>
  <si>
    <t>Plus: Cash (as at Valuation Date)</t>
  </si>
  <si>
    <t>COGS Margin %</t>
  </si>
  <si>
    <t>Total Liabilities &amp; Shareholders' Equity</t>
  </si>
  <si>
    <t>Net Change in Cash</t>
  </si>
  <si>
    <t>NASDAQ: LULU</t>
  </si>
  <si>
    <t>Lululemon (NASDAQ: LULU)</t>
  </si>
  <si>
    <t>Impairment of goodwill and other assets, restructuring costs</t>
  </si>
  <si>
    <t>Amortization of intangible assets</t>
  </si>
  <si>
    <t>Gain on disposal of assets</t>
  </si>
  <si>
    <t>For the year ended</t>
  </si>
  <si>
    <t>Acquisition-related expenses</t>
  </si>
  <si>
    <t>% of Revenue</t>
  </si>
  <si>
    <t>Inventory</t>
  </si>
  <si>
    <t>Prepaid and receivable income taxes</t>
  </si>
  <si>
    <t>Prepaid Expenses and other current assets</t>
  </si>
  <si>
    <t>Property and equipment, net</t>
  </si>
  <si>
    <t>Right-of-use lease assets</t>
  </si>
  <si>
    <t>Goodwill</t>
  </si>
  <si>
    <t>Intangible assets, net</t>
  </si>
  <si>
    <t>Deferred income tax assets</t>
  </si>
  <si>
    <t>Accrued Liabilities and other</t>
  </si>
  <si>
    <t>Accrued compensation and related expenses</t>
  </si>
  <si>
    <t>Unredeemed gift card liability</t>
  </si>
  <si>
    <t>Current Portion of Income Taxes Payable</t>
  </si>
  <si>
    <t>Non-Current Portion of Leases</t>
  </si>
  <si>
    <t>Non-Current Portion of Income Taxes Payable</t>
  </si>
  <si>
    <t>Deferred Income Tax Liabilities</t>
  </si>
  <si>
    <t>Other income (expense), net</t>
  </si>
  <si>
    <t>Adjustments to net cash provided by operating activities:</t>
  </si>
  <si>
    <t>Impairment of goodwill and other assets</t>
  </si>
  <si>
    <t>Stock-based compensation expense</t>
  </si>
  <si>
    <t>Derecognition of unredeemed gift card liability</t>
  </si>
  <si>
    <t>Settlement of derivatives not designated In a hedging relationship</t>
  </si>
  <si>
    <t>Deferred income taxes</t>
  </si>
  <si>
    <t>Changes in net working capital:</t>
  </si>
  <si>
    <t>Inventories</t>
  </si>
  <si>
    <t>Prepaid expenses and other current assets</t>
  </si>
  <si>
    <t>Other non-current assets</t>
  </si>
  <si>
    <t>Accounts payable</t>
  </si>
  <si>
    <t>Accrued liabilities and other</t>
  </si>
  <si>
    <t>Current and non-current income taxes payable</t>
  </si>
  <si>
    <t>Right-of-use lease assets and current and non-current lease liabilities</t>
  </si>
  <si>
    <t>Other current and non-current liabilities</t>
  </si>
  <si>
    <t>Settlement of net investment hedges</t>
  </si>
  <si>
    <t>Acquisition, net of cash required</t>
  </si>
  <si>
    <t>Proceeds from settlement of stock-based compensation</t>
  </si>
  <si>
    <t>Shares withheld related to net share settlement of stock-based compensation</t>
  </si>
  <si>
    <t>Repurchase of common stock</t>
  </si>
  <si>
    <t>Cash and cash equivalents, beginning of period</t>
  </si>
  <si>
    <t>Cash and cash equivalents, end of period</t>
  </si>
  <si>
    <t>lululemon Studio obsolescence provision</t>
  </si>
  <si>
    <t>Accounts receivable</t>
  </si>
  <si>
    <t>% Growth</t>
  </si>
  <si>
    <t>Other</t>
  </si>
  <si>
    <t>Step:</t>
  </si>
  <si>
    <t>Company-operated stores</t>
  </si>
  <si>
    <t>United States</t>
  </si>
  <si>
    <t>Canada</t>
  </si>
  <si>
    <t>Mexico</t>
  </si>
  <si>
    <t>Americas</t>
  </si>
  <si>
    <t>China Mainland</t>
  </si>
  <si>
    <t>Australia</t>
  </si>
  <si>
    <t>South Korea</t>
  </si>
  <si>
    <t>Hong Kong SAR</t>
  </si>
  <si>
    <t>Japan</t>
  </si>
  <si>
    <t>New Zealand</t>
  </si>
  <si>
    <t>Taiwan</t>
  </si>
  <si>
    <t>Singapore</t>
  </si>
  <si>
    <t>Malaysia</t>
  </si>
  <si>
    <t>Thailand</t>
  </si>
  <si>
    <t>Macau SAR</t>
  </si>
  <si>
    <t>United Kingdom</t>
  </si>
  <si>
    <t>Germany</t>
  </si>
  <si>
    <t>France</t>
  </si>
  <si>
    <t>Ireland</t>
  </si>
  <si>
    <t>Spain</t>
  </si>
  <si>
    <t>Netherlands</t>
  </si>
  <si>
    <t>Sweden</t>
  </si>
  <si>
    <t>Norway</t>
  </si>
  <si>
    <t>Switzerland</t>
  </si>
  <si>
    <t>Total company-operated stores</t>
  </si>
  <si>
    <t>Asia Pacific (APAC)</t>
  </si>
  <si>
    <t>Europe and the Middle East (EMEA)</t>
  </si>
  <si>
    <t>Rest of World</t>
  </si>
  <si>
    <t>% of Total Revenue</t>
  </si>
  <si>
    <t>Net Revenue</t>
  </si>
  <si>
    <t>% Revenue Growth</t>
  </si>
  <si>
    <t>Annual sales per store (millions)</t>
  </si>
  <si>
    <t>Cash &amp; Short Term Investments</t>
  </si>
  <si>
    <t>Total Debt</t>
  </si>
  <si>
    <t>V.F Corporation</t>
  </si>
  <si>
    <t>NYSE: VFC</t>
  </si>
  <si>
    <t>Ralph Lauren Corporation</t>
  </si>
  <si>
    <t>NYSE: RL</t>
  </si>
  <si>
    <t>PVH Corp.</t>
  </si>
  <si>
    <t>NYSE: PVH</t>
  </si>
  <si>
    <t>Levi Strauss &amp; Co.</t>
  </si>
  <si>
    <t>NYSE: LEVI</t>
  </si>
  <si>
    <t>lululemon athletica inc.</t>
  </si>
  <si>
    <t>Price / Earnings</t>
  </si>
  <si>
    <t>2024A 
EBITDA</t>
  </si>
  <si>
    <t>2025E 
EBITDA</t>
  </si>
  <si>
    <t>2026E 
EBITDA</t>
  </si>
  <si>
    <t>2024A EV/EBITDA</t>
  </si>
  <si>
    <t>2025E  EV/EBITDA</t>
  </si>
  <si>
    <t>2026E  EV/EBITDA</t>
  </si>
  <si>
    <t>2024A 
Diluted EPS</t>
  </si>
  <si>
    <t>2025E 
Diluted EPS</t>
  </si>
  <si>
    <t>2026E 
Diluted EPS</t>
  </si>
  <si>
    <t>2024A 
P/E</t>
  </si>
  <si>
    <t>2025E 
P/E</t>
  </si>
  <si>
    <t>2026E 
P/E</t>
  </si>
  <si>
    <t>Revenue by gender-based product ranges</t>
  </si>
  <si>
    <t>Female products</t>
  </si>
  <si>
    <t>Male products</t>
  </si>
  <si>
    <t>Total Revenue</t>
  </si>
  <si>
    <t>Growth %</t>
  </si>
  <si>
    <t>Assumption - Lululemon will continue to expand operations in China, where it currently has ~15% brand awareness (TD Cowen, 2025) compared to ~36% and ~48% in Canada and the U.S. Continuously high growth rates into the 2030s are not possible, as Lululemon cannot reasonably expect to open new stores at a rate of 20%+ over many years due to the mathematical properties of percentages.</t>
  </si>
  <si>
    <t xml:space="preserve">Assumption - Lululemon will continue to increase brand awareness in China, which currently sits around 15% (TD Cowen, 2025). Numbers decrease over time due to the mathematical properties of percentages </t>
  </si>
  <si>
    <t>Assumption - Lululemon is closer to reaching maximum brand awareness in the Americas than in China, but will still continue to expand stores, mainly in Mexico</t>
  </si>
  <si>
    <t>Other countries</t>
  </si>
  <si>
    <t>Assumption - UK and other currently listed EMEA countries have exhausted most of their growth potential, though there remains room for slight expansion</t>
  </si>
  <si>
    <t>Assumption - Lululemon expands +2 stores in new countries every year, even from a pessimistic angle</t>
  </si>
  <si>
    <t>Assumption - Lululemon presence in APAC countries will grow faster than EMEA because Asia is a largely developing market</t>
  </si>
  <si>
    <t>Assumption - Lululemon expands +5 stores in new countries every year, even from a pessimistic angle</t>
  </si>
  <si>
    <t>Revenue by geographies and gender</t>
  </si>
  <si>
    <t>Growth % (Total)</t>
  </si>
  <si>
    <t>Sales (Male)</t>
  </si>
  <si>
    <t>Sales (Female)</t>
  </si>
  <si>
    <t>Sales (Other)</t>
  </si>
  <si>
    <t>Gross Margin</t>
  </si>
  <si>
    <t>Less: COGS</t>
  </si>
  <si>
    <t>Less: SG&amp;A</t>
  </si>
  <si>
    <t>Equals: Operating Income</t>
  </si>
  <si>
    <t>% Margin</t>
  </si>
  <si>
    <t>Less: Other Operating Expenses</t>
  </si>
  <si>
    <t>Earnings Before Tax (EBT)</t>
  </si>
  <si>
    <t>Less: Tax Expense</t>
  </si>
  <si>
    <t>Beginning: Revenue</t>
  </si>
  <si>
    <t>Beginning: Gross Profit</t>
  </si>
  <si>
    <t>Tax Rate Schedule</t>
  </si>
  <si>
    <t>Selling, General &amp; Administrative Schedule</t>
  </si>
  <si>
    <t>Cost of Goods Sold Schedule</t>
  </si>
  <si>
    <t>Beginning PP&amp;E Balance</t>
  </si>
  <si>
    <t>Less: Depreciation</t>
  </si>
  <si>
    <t>Plus: CapEx</t>
  </si>
  <si>
    <t>Ending PP&amp;E Balance</t>
  </si>
  <si>
    <t>Drivers</t>
  </si>
  <si>
    <t>CapEx as a % of Revenue</t>
  </si>
  <si>
    <t>Depreciation as a % of Beginning PP&amp;E</t>
  </si>
  <si>
    <t>PP&amp;E Schedule</t>
  </si>
  <si>
    <t>Accounts Receivable</t>
  </si>
  <si>
    <t>Beginning A/R Balance</t>
  </si>
  <si>
    <t>Increase / (Decrease)</t>
  </si>
  <si>
    <t>Ending A/R Balance</t>
  </si>
  <si>
    <t>A/R Turnover</t>
  </si>
  <si>
    <t>Days Sales Outstanding</t>
  </si>
  <si>
    <t>Beginning A/P Balance</t>
  </si>
  <si>
    <t>Ending A/P Balance</t>
  </si>
  <si>
    <t>A/P Turnover</t>
  </si>
  <si>
    <t>Days Payables Outstanding</t>
  </si>
  <si>
    <t>Beginning Inventory Balance</t>
  </si>
  <si>
    <t>Ending Inventory Balance</t>
  </si>
  <si>
    <t>Inventory Turnover</t>
  </si>
  <si>
    <t>Days Inventory Outstanding</t>
  </si>
  <si>
    <t>Additional Drivers</t>
  </si>
  <si>
    <t>Prepaid and receivable income taxes as % of Revenue</t>
  </si>
  <si>
    <t>Prepaid Expenses and other current assets as % of Revenue</t>
  </si>
  <si>
    <t>Right-of-use lease assets as % of Revenue</t>
  </si>
  <si>
    <t>Unredeemed gift card liability as % of Revenue</t>
  </si>
  <si>
    <t>Accrued Liability as % of COGS</t>
  </si>
  <si>
    <t>Accrued compensation and other expenses as % of SG&amp;A</t>
  </si>
  <si>
    <t>Operating Lease Liabilities as % of SG&amp;A</t>
  </si>
  <si>
    <t>Beginning Retained Earnings</t>
  </si>
  <si>
    <t>Less: Share Buybacks</t>
  </si>
  <si>
    <t>Ending Retained Earnings</t>
  </si>
  <si>
    <t>Share Buybacks as a % of Revenue</t>
  </si>
  <si>
    <t>Equity Schedule</t>
  </si>
  <si>
    <t>Beginning APIC</t>
  </si>
  <si>
    <t>Plus: Stock-Based Compensation</t>
  </si>
  <si>
    <t>Plus: Common Stock issued upon settlement of stock-based compensation</t>
  </si>
  <si>
    <t>Less: Shares withheld due to stock-based compensation settlements</t>
  </si>
  <si>
    <t>Ending APIC</t>
  </si>
  <si>
    <t>Stock-Based Compensation as a % of Revenue</t>
  </si>
  <si>
    <t>SBC Haircut</t>
  </si>
  <si>
    <t>SBC Haircut as a % of SBC</t>
  </si>
  <si>
    <t>Deferred Income Taxes as % of Revenue</t>
  </si>
  <si>
    <t>Other non-current assets as % of Revenue</t>
  </si>
  <si>
    <t>SBC Haircut minus Share Buybacks as % of SBC</t>
  </si>
  <si>
    <t>Ignore: SBC Haircut minus Share Buybacks</t>
  </si>
  <si>
    <t>SBC Haircut minus Share Buybacks</t>
  </si>
  <si>
    <t>Other current liabilities as % of SG&amp;A</t>
  </si>
  <si>
    <t>Other non-current liabilities as % of SG&amp;A</t>
  </si>
  <si>
    <t>Discount Year</t>
  </si>
  <si>
    <t>Implied Share Price</t>
  </si>
  <si>
    <t>Increase (Decrease) in A/R</t>
  </si>
  <si>
    <t>Increase (Decrease) in Inventory</t>
  </si>
  <si>
    <t>Total Change in Non-Cash Current Assets</t>
  </si>
  <si>
    <t>Increase (Decrease) in A/P</t>
  </si>
  <si>
    <t>Increase (Decrease) in Accrued Liabilities</t>
  </si>
  <si>
    <t>Total Change in Non-Cash Current Liabilities</t>
  </si>
  <si>
    <t>Increase (Decrease) in Other Current Assets</t>
  </si>
  <si>
    <t>Increase (Decrease) in Other Current Liabilities</t>
  </si>
  <si>
    <t>Pre-Tax Cost of Debt Schedule</t>
  </si>
  <si>
    <t>10-Year U.S. Treasury Rate</t>
  </si>
  <si>
    <t>A- Credit Spread</t>
  </si>
  <si>
    <t>Step Accel:</t>
  </si>
  <si>
    <t>Tapestry, Inc.</t>
  </si>
  <si>
    <t>NYSE: TPR</t>
  </si>
  <si>
    <t>Gildan Activewear Inc.</t>
  </si>
  <si>
    <t>TSX: GIL</t>
  </si>
  <si>
    <t>HanesBrands Inc.</t>
  </si>
  <si>
    <t>Gildan is buying Hanes to gain scale and cut costs, making it a clear apparel consolidation precedent.</t>
  </si>
  <si>
    <t>Authentic Brands Group, LLC</t>
  </si>
  <si>
    <t>Authentic acquired Dockers from Levi Strauss to add a well-known casual apparel brand to its portfolio.</t>
  </si>
  <si>
    <t>Advent International, L.P</t>
  </si>
  <si>
    <t>Advent invested to support lululemon’s global growth and operational scaling in premium activewear.</t>
  </si>
  <si>
    <t>Legion Partners Asset Management, LLC</t>
  </si>
  <si>
    <t>Perry Ellis International, Inc.</t>
  </si>
  <si>
    <t>Legion Partners targeted Perry Ellis to improve performance across its branded clothing portfolio.</t>
  </si>
  <si>
    <t>P180</t>
  </si>
  <si>
    <t>Vince Holding Corp.</t>
  </si>
  <si>
    <t>P180 acquired Vince to add a premium apparel brand and drive operational improvements.</t>
  </si>
  <si>
    <t>Pacific Dunlop Investments Inc.</t>
  </si>
  <si>
    <t>Lakeland Industries, Inc.</t>
  </si>
  <si>
    <t>Pacific Dunlop acquired Lakeland to expand its safety apparel portfolio and gain exposure to protective clothing markets.</t>
  </si>
  <si>
    <t>Equals: Implied Equity Value</t>
  </si>
  <si>
    <t>Implied Return</t>
  </si>
  <si>
    <t>Net Income Build</t>
  </si>
  <si>
    <t>Earnings Models</t>
  </si>
  <si>
    <t>Assumption - Lululemon will enjoy increased growth around FY25E - FY26E, but will see a decline in growth as they maximize their market share</t>
  </si>
  <si>
    <t>Assumption - Lululemon has high brand exposure in North America, so their rate of expansion will gradually slow down</t>
  </si>
  <si>
    <t>Assumption - Lululemon will expand more rapidly in EMEA/APAC markets, necessitating a more rapid decline in growth to ensure long-term figures don't eclipse projected global economic growth</t>
  </si>
  <si>
    <t>Revenue Build - Base Case</t>
  </si>
  <si>
    <t>Revenue Build - Bull Case</t>
  </si>
  <si>
    <t>Revenue Build - Bear Case</t>
  </si>
  <si>
    <t>Assumption: Lululemon is already very well known by females, leaving minimal room for brand expansion</t>
  </si>
  <si>
    <t>Assumption: Lululemon is not as known among male audiences, meaning there is significant room for expansion in this regard</t>
  </si>
  <si>
    <t>Assumption: This customer segment sits in between the male and female audience in terms of brand engagement with Lululemon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</si>
</sst>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0.00;\(&quot;$&quot;0.00\);\-"/>
    <numFmt numFmtId="166" formatCode="#,##0;\ \(#,##0\);\-"/>
    <numFmt numFmtId="167" formatCode="0.00%;\(0.00%\);\-"/>
    <numFmt numFmtId="168" formatCode="0.00;\(0.00\);0"/>
    <numFmt numFmtId="169" formatCode="0.00\x;\(0.00\x\);\-"/>
    <numFmt numFmtId="170" formatCode="0&quot;A&quot;"/>
    <numFmt numFmtId="171" formatCode="0&quot;E&quot;"/>
    <numFmt numFmtId="172" formatCode="#,##0;\(#,##0\);\-"/>
    <numFmt numFmtId="173" formatCode="0.0%;\(0.0%\);\-\%"/>
    <numFmt numFmtId="174" formatCode="0.00%;\(0.00%\);\-\%"/>
    <numFmt numFmtId="175" formatCode="[$-409]d\-mmm\-yy;@"/>
    <numFmt numFmtId="176" formatCode="#,##0.0_);\(#,##0.0\)"/>
    <numFmt numFmtId="177" formatCode="#,##0.0;\(#,##0.0\);\-"/>
    <numFmt numFmtId="178" formatCode="&quot;Check&quot;;&quot;Check&quot;;&quot;OK&quot;"/>
    <numFmt numFmtId="179" formatCode="_-* #,##0_-;\-* #,##0_-;_-* &quot;-&quot;??_-;_-@_-"/>
    <numFmt numFmtId="180" formatCode="0.0%"/>
    <numFmt numFmtId="181" formatCode="#,##0;[Red]\(#,##0\)"/>
    <numFmt numFmtId="182" formatCode="#,##0;[Red]\(#,##0\);\-"/>
    <numFmt numFmtId="183" formatCode="0.0%;[Red]\(0.0%\);\-"/>
    <numFmt numFmtId="184" formatCode="0.0%;\(0.0%\);\-"/>
    <numFmt numFmtId="185" formatCode="0.00;\(0.00\);\-"/>
    <numFmt numFmtId="186" formatCode="&quot;$&quot;#,##0;\-&quot;$&quot;#,##0;\-"/>
    <numFmt numFmtId="187" formatCode="0.0&quot;x&quot;"/>
    <numFmt numFmtId="188" formatCode="[$-1009]mmmm\ d\,\ yyyy;@"/>
    <numFmt numFmtId="189" formatCode="0.00\x;\(0.00\)\x;&quot;N/A&quot;"/>
    <numFmt numFmtId="190" formatCode="#.00&quot;x&quot;"/>
    <numFmt numFmtId="191" formatCode="[$-1009]d/mmm/yy;@"/>
    <numFmt numFmtId="192" formatCode="@_)"/>
    <numFmt numFmtId="194" formatCode="#,##0_);\(#,##0\);&quot;-&quot;_)"/>
    <numFmt numFmtId="195" formatCode="#,##0.0\x_);\(#,##0.0\);&quot;-&quot;_)"/>
    <numFmt numFmtId="197" formatCode="#,##0.00_);\(#,##0.00\);&quot;-&quot;_)"/>
    <numFmt numFmtId="199" formatCode="#,##0;\(#,##0\);&quot;-&quot;"/>
    <numFmt numFmtId="200" formatCode="_-* #,##0.0_-;* \(#,##0.0\)_-;_-* &quot;-&quot;??_-;_-@"/>
    <numFmt numFmtId="201" formatCode="#,##0.0\x_X;\(#,##0.0\x\);\”\-\”_X;&quot;-&quot;_X"/>
    <numFmt numFmtId="202" formatCode="#,##0.00;\(#,##0.00\);\-"/>
    <numFmt numFmtId="203" formatCode="#,##0.0;\(#,##0.0\);&quot;-&quot;"/>
    <numFmt numFmtId="204" formatCode="#,##0.00;\(#,##0.00\);&quot;-&quot;"/>
    <numFmt numFmtId="205" formatCode="_(* #,##0.00_);_(* \(#,##0.00\);_(* &quot;-&quot;??_);_(@_)"/>
    <numFmt numFmtId="206" formatCode="#,##0.0%_);\(#,##0.0%\);&quot;-&quot;_)"/>
    <numFmt numFmtId="207" formatCode="&quot;&quot;"/>
    <numFmt numFmtId="210" formatCode="#,##0.0\x;\(#,##0.0\x\);\-"/>
  </numFmts>
  <fonts count="7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FF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9B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4"/>
      <color rgb="FF050A3F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sz val="10"/>
      <name val="Frutiger 45 Light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Arial"/>
      <family val="2"/>
    </font>
    <font>
      <sz val="8"/>
      <name val="Times New Roman"/>
      <family val="1"/>
    </font>
    <font>
      <b/>
      <sz val="10"/>
      <color rgb="FF050A3F"/>
      <name val="Arial"/>
      <family val="2"/>
    </font>
    <font>
      <b/>
      <u/>
      <sz val="10"/>
      <color theme="1"/>
      <name val="Arial"/>
      <family val="2"/>
    </font>
    <font>
      <sz val="10"/>
      <name val="Times New Roman"/>
      <family val="1"/>
    </font>
    <font>
      <b/>
      <sz val="12"/>
      <color rgb="FFEFBF04"/>
      <name val="Arial"/>
      <family val="2"/>
    </font>
    <font>
      <sz val="12"/>
      <color rgb="FFEFBF04"/>
      <name val="Arial"/>
      <family val="2"/>
    </font>
    <font>
      <sz val="10"/>
      <color rgb="FF050A3F"/>
      <name val="Arial"/>
      <family val="2"/>
    </font>
    <font>
      <b/>
      <u val="singleAccounting"/>
      <sz val="10"/>
      <color theme="1"/>
      <name val="Arial"/>
      <family val="2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B05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u/>
      <sz val="11"/>
      <color theme="1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1"/>
      <color rgb="FF0000F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rial"/>
      <family val="2"/>
    </font>
    <font>
      <sz val="11"/>
      <color rgb="FFC00000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b/>
      <sz val="11"/>
      <color theme="0"/>
      <name val="Calibri"/>
      <family val="2"/>
    </font>
    <font>
      <sz val="10"/>
      <color theme="6"/>
      <name val="Calibri"/>
      <family val="2"/>
    </font>
    <font>
      <b/>
      <sz val="10"/>
      <color theme="6"/>
      <name val="Calibri"/>
      <family val="2"/>
    </font>
    <font>
      <sz val="10"/>
      <color rgb="FFC00000"/>
      <name val="Arial"/>
      <family val="2"/>
    </font>
    <font>
      <u/>
      <sz val="10"/>
      <color theme="1"/>
      <name val="Arial"/>
      <family val="2"/>
    </font>
    <font>
      <i/>
      <sz val="10"/>
      <color rgb="FF0000FF"/>
      <name val="Arial"/>
      <family val="2"/>
    </font>
    <font>
      <i/>
      <sz val="10"/>
      <color rgb="FF00B050"/>
      <name val="Arial"/>
      <family val="2"/>
    </font>
    <font>
      <u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i/>
      <sz val="10"/>
      <color theme="0"/>
      <name val="Arial"/>
      <family val="2"/>
    </font>
    <font>
      <sz val="11"/>
      <color rgb="FF00B05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50A3F"/>
        <bgColor indexed="64"/>
      </patternFill>
    </fill>
    <fill>
      <patternFill patternType="solid">
        <fgColor rgb="FFA4C2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0A233D"/>
        <bgColor rgb="FF0A233D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rgb="FF050A3F"/>
        <bgColor rgb="FF0A233D"/>
      </patternFill>
    </fill>
    <fill>
      <patternFill patternType="solid">
        <fgColor rgb="FF09213D"/>
        <bgColor indexed="64"/>
      </patternFill>
    </fill>
    <fill>
      <patternFill patternType="solid">
        <fgColor theme="0"/>
        <bgColor rgb="FF0A233D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28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4659260841701"/>
      </bottom>
      <diagonal/>
    </border>
    <border>
      <left/>
      <right/>
      <top style="thin">
        <color indexed="64"/>
      </top>
      <bottom style="thin">
        <color theme="1" tint="0.2499465926084170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medium">
        <color auto="1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/>
    <xf numFmtId="0" fontId="24" fillId="0" borderId="12" applyNumberFormat="0" applyFont="0" applyFill="0" applyAlignment="0" applyProtection="0">
      <alignment horizontal="centerContinuous"/>
    </xf>
    <xf numFmtId="0" fontId="27" fillId="0" borderId="0"/>
    <xf numFmtId="0" fontId="24" fillId="0" borderId="0" applyFill="0" applyBorder="0" applyProtection="0"/>
    <xf numFmtId="0" fontId="24" fillId="0" borderId="12" applyNumberFormat="0" applyFont="0" applyFill="0" applyAlignment="0" applyProtection="0">
      <alignment horizontal="centerContinuous"/>
    </xf>
    <xf numFmtId="0" fontId="20" fillId="0" borderId="0">
      <alignment vertical="top"/>
    </xf>
    <xf numFmtId="0" fontId="20" fillId="0" borderId="0"/>
    <xf numFmtId="179" fontId="30" fillId="0" borderId="0" applyNumberFormat="0" applyFont="0" applyBorder="0" applyAlignment="0" applyProtection="0"/>
    <xf numFmtId="9" fontId="2" fillId="0" borderId="0" applyFont="0" applyFill="0" applyBorder="0" applyAlignment="0" applyProtection="0"/>
    <xf numFmtId="181" fontId="33" fillId="0" borderId="0"/>
    <xf numFmtId="0" fontId="20" fillId="0" borderId="0"/>
    <xf numFmtId="0" fontId="36" fillId="0" borderId="0"/>
    <xf numFmtId="0" fontId="2" fillId="0" borderId="0"/>
    <xf numFmtId="188" fontId="20" fillId="0" borderId="0"/>
    <xf numFmtId="164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20" fillId="0" borderId="0" applyFont="0" applyFill="0" applyBorder="0" applyAlignment="0" applyProtection="0"/>
  </cellStyleXfs>
  <cellXfs count="511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Continuous"/>
    </xf>
    <xf numFmtId="0" fontId="7" fillId="3" borderId="2" xfId="0" applyFont="1" applyFill="1" applyBorder="1" applyAlignment="1">
      <alignment horizontal="centerContinuous"/>
    </xf>
    <xf numFmtId="0" fontId="7" fillId="3" borderId="3" xfId="0" applyFont="1" applyFill="1" applyBorder="1" applyAlignment="1">
      <alignment horizontal="centerContinuous"/>
    </xf>
    <xf numFmtId="0" fontId="4" fillId="0" borderId="4" xfId="0" applyFont="1" applyBorder="1"/>
    <xf numFmtId="0" fontId="4" fillId="0" borderId="5" xfId="0" applyFont="1" applyBorder="1"/>
    <xf numFmtId="0" fontId="8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5" xfId="0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/>
    <xf numFmtId="0" fontId="11" fillId="0" borderId="0" xfId="0" applyFont="1" applyAlignment="1">
      <alignment horizontal="center"/>
    </xf>
    <xf numFmtId="0" fontId="13" fillId="3" borderId="0" xfId="0" applyFont="1" applyFill="1" applyAlignment="1">
      <alignment horizontal="centerContinuous"/>
    </xf>
    <xf numFmtId="0" fontId="15" fillId="3" borderId="0" xfId="0" applyFont="1" applyFill="1" applyAlignment="1">
      <alignment horizontal="centerContinuous"/>
    </xf>
    <xf numFmtId="0" fontId="16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3" fillId="4" borderId="9" xfId="0" applyFont="1" applyFill="1" applyBorder="1" applyAlignment="1">
      <alignment horizontal="left"/>
    </xf>
    <xf numFmtId="0" fontId="17" fillId="0" borderId="10" xfId="0" applyFont="1" applyBorder="1"/>
    <xf numFmtId="0" fontId="11" fillId="0" borderId="10" xfId="0" applyFont="1" applyBorder="1"/>
    <xf numFmtId="0" fontId="19" fillId="0" borderId="10" xfId="0" applyFont="1" applyBorder="1"/>
    <xf numFmtId="0" fontId="11" fillId="2" borderId="11" xfId="0" applyFont="1" applyFill="1" applyBorder="1"/>
    <xf numFmtId="0" fontId="11" fillId="0" borderId="11" xfId="0" applyFont="1" applyBorder="1"/>
    <xf numFmtId="0" fontId="13" fillId="3" borderId="0" xfId="4" applyFont="1" applyFill="1"/>
    <xf numFmtId="0" fontId="10" fillId="3" borderId="0" xfId="0" applyFont="1" applyFill="1"/>
    <xf numFmtId="0" fontId="14" fillId="3" borderId="0" xfId="0" applyFont="1" applyFill="1"/>
    <xf numFmtId="0" fontId="21" fillId="3" borderId="0" xfId="0" applyFont="1" applyFill="1" applyAlignment="1">
      <alignment horizontal="left"/>
    </xf>
    <xf numFmtId="170" fontId="13" fillId="3" borderId="0" xfId="4" applyNumberFormat="1" applyFont="1" applyFill="1"/>
    <xf numFmtId="171" fontId="13" fillId="3" borderId="0" xfId="4" applyNumberFormat="1" applyFont="1" applyFill="1"/>
    <xf numFmtId="0" fontId="20" fillId="3" borderId="0" xfId="4" applyFill="1"/>
    <xf numFmtId="0" fontId="13" fillId="0" borderId="0" xfId="4" applyFont="1"/>
    <xf numFmtId="0" fontId="20" fillId="0" borderId="0" xfId="4"/>
    <xf numFmtId="166" fontId="17" fillId="0" borderId="0" xfId="4" applyNumberFormat="1" applyFont="1" applyAlignment="1">
      <alignment horizontal="right"/>
    </xf>
    <xf numFmtId="166" fontId="11" fillId="2" borderId="0" xfId="4" applyNumberFormat="1" applyFont="1" applyFill="1" applyAlignment="1">
      <alignment horizontal="right"/>
    </xf>
    <xf numFmtId="0" fontId="14" fillId="0" borderId="0" xfId="0" applyFont="1" applyAlignment="1">
      <alignment horizontal="right"/>
    </xf>
    <xf numFmtId="0" fontId="22" fillId="0" borderId="0" xfId="4" applyFont="1" applyAlignment="1">
      <alignment horizontal="left" indent="1"/>
    </xf>
    <xf numFmtId="167" fontId="22" fillId="0" borderId="0" xfId="4" applyNumberFormat="1" applyFont="1" applyAlignment="1">
      <alignment horizontal="right"/>
    </xf>
    <xf numFmtId="167" fontId="22" fillId="2" borderId="0" xfId="4" applyNumberFormat="1" applyFont="1" applyFill="1" applyAlignment="1">
      <alignment horizontal="right"/>
    </xf>
    <xf numFmtId="0" fontId="23" fillId="0" borderId="11" xfId="4" applyFont="1" applyBorder="1"/>
    <xf numFmtId="172" fontId="23" fillId="0" borderId="11" xfId="4" applyNumberFormat="1" applyFont="1" applyBorder="1" applyAlignment="1">
      <alignment horizontal="right"/>
    </xf>
    <xf numFmtId="172" fontId="23" fillId="2" borderId="11" xfId="4" applyNumberFormat="1" applyFont="1" applyFill="1" applyBorder="1" applyAlignment="1">
      <alignment horizontal="right"/>
    </xf>
    <xf numFmtId="173" fontId="22" fillId="0" borderId="0" xfId="4" applyNumberFormat="1" applyFont="1" applyAlignment="1">
      <alignment horizontal="right"/>
    </xf>
    <xf numFmtId="173" fontId="22" fillId="2" borderId="0" xfId="4" applyNumberFormat="1" applyFont="1" applyFill="1" applyAlignment="1">
      <alignment horizontal="right"/>
    </xf>
    <xf numFmtId="0" fontId="23" fillId="0" borderId="0" xfId="4" applyFont="1"/>
    <xf numFmtId="172" fontId="20" fillId="0" borderId="0" xfId="4" applyNumberFormat="1" applyAlignment="1">
      <alignment horizontal="right"/>
    </xf>
    <xf numFmtId="9" fontId="20" fillId="0" borderId="0" xfId="3" applyFont="1" applyFill="1" applyBorder="1" applyAlignment="1">
      <alignment horizontal="right"/>
    </xf>
    <xf numFmtId="0" fontId="20" fillId="0" borderId="0" xfId="4" applyAlignment="1">
      <alignment horizontal="left" indent="1"/>
    </xf>
    <xf numFmtId="172" fontId="23" fillId="0" borderId="0" xfId="4" applyNumberFormat="1" applyFont="1" applyAlignment="1">
      <alignment horizontal="right"/>
    </xf>
    <xf numFmtId="174" fontId="23" fillId="0" borderId="0" xfId="4" applyNumberFormat="1" applyFont="1" applyAlignment="1">
      <alignment horizontal="left"/>
    </xf>
    <xf numFmtId="166" fontId="17" fillId="0" borderId="9" xfId="4" applyNumberFormat="1" applyFont="1" applyBorder="1" applyAlignment="1">
      <alignment horizontal="right"/>
    </xf>
    <xf numFmtId="166" fontId="11" fillId="2" borderId="9" xfId="4" applyNumberFormat="1" applyFont="1" applyFill="1" applyBorder="1" applyAlignment="1">
      <alignment horizontal="right"/>
    </xf>
    <xf numFmtId="172" fontId="17" fillId="0" borderId="0" xfId="5" applyNumberFormat="1" applyFont="1" applyFill="1" applyBorder="1" applyAlignment="1">
      <alignment horizontal="right"/>
    </xf>
    <xf numFmtId="174" fontId="22" fillId="0" borderId="0" xfId="4" applyNumberFormat="1" applyFont="1" applyAlignment="1">
      <alignment horizontal="left" indent="1"/>
    </xf>
    <xf numFmtId="172" fontId="23" fillId="0" borderId="0" xfId="4" applyNumberFormat="1" applyFont="1"/>
    <xf numFmtId="0" fontId="25" fillId="0" borderId="0" xfId="4" applyFont="1"/>
    <xf numFmtId="15" fontId="26" fillId="0" borderId="0" xfId="4" applyNumberFormat="1" applyFont="1"/>
    <xf numFmtId="175" fontId="23" fillId="0" borderId="0" xfId="4" applyNumberFormat="1" applyFont="1" applyAlignment="1">
      <alignment horizontal="centerContinuous"/>
    </xf>
    <xf numFmtId="4" fontId="17" fillId="0" borderId="0" xfId="6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23" fillId="0" borderId="0" xfId="7" applyFont="1" applyFill="1"/>
    <xf numFmtId="0" fontId="20" fillId="0" borderId="0" xfId="6" applyFont="1"/>
    <xf numFmtId="172" fontId="20" fillId="0" borderId="0" xfId="6" applyNumberFormat="1" applyFont="1"/>
    <xf numFmtId="0" fontId="28" fillId="0" borderId="0" xfId="7" applyFont="1" applyFill="1"/>
    <xf numFmtId="172" fontId="20" fillId="5" borderId="0" xfId="4" applyNumberFormat="1" applyFill="1"/>
    <xf numFmtId="0" fontId="20" fillId="5" borderId="0" xfId="4" applyFill="1"/>
    <xf numFmtId="0" fontId="29" fillId="0" borderId="0" xfId="6" applyFont="1" applyAlignment="1">
      <alignment horizontal="left" indent="1"/>
    </xf>
    <xf numFmtId="0" fontId="20" fillId="0" borderId="11" xfId="6" applyFont="1" applyBorder="1"/>
    <xf numFmtId="172" fontId="30" fillId="0" borderId="0" xfId="5" applyNumberFormat="1" applyFont="1" applyFill="1" applyBorder="1" applyAlignment="1">
      <alignment horizontal="right"/>
    </xf>
    <xf numFmtId="172" fontId="30" fillId="5" borderId="0" xfId="5" applyNumberFormat="1" applyFont="1" applyFill="1" applyBorder="1" applyAlignment="1">
      <alignment horizontal="right"/>
    </xf>
    <xf numFmtId="0" fontId="20" fillId="0" borderId="0" xfId="6" applyFont="1" applyAlignment="1">
      <alignment horizontal="left" indent="1"/>
    </xf>
    <xf numFmtId="0" fontId="20" fillId="0" borderId="9" xfId="6" applyFont="1" applyBorder="1" applyAlignment="1">
      <alignment horizontal="left" indent="1"/>
    </xf>
    <xf numFmtId="0" fontId="23" fillId="0" borderId="11" xfId="6" applyFont="1" applyBorder="1"/>
    <xf numFmtId="172" fontId="23" fillId="0" borderId="11" xfId="5" applyNumberFormat="1" applyFont="1" applyFill="1" applyBorder="1" applyAlignment="1">
      <alignment horizontal="right"/>
    </xf>
    <xf numFmtId="172" fontId="23" fillId="2" borderId="11" xfId="5" applyNumberFormat="1" applyFont="1" applyFill="1" applyBorder="1" applyAlignment="1">
      <alignment horizontal="right"/>
    </xf>
    <xf numFmtId="172" fontId="19" fillId="0" borderId="0" xfId="6" applyNumberFormat="1" applyFont="1"/>
    <xf numFmtId="172" fontId="19" fillId="5" borderId="0" xfId="6" applyNumberFormat="1" applyFont="1" applyFill="1"/>
    <xf numFmtId="172" fontId="20" fillId="5" borderId="0" xfId="6" applyNumberFormat="1" applyFont="1" applyFill="1"/>
    <xf numFmtId="0" fontId="28" fillId="0" borderId="0" xfId="6" applyFont="1"/>
    <xf numFmtId="172" fontId="20" fillId="0" borderId="0" xfId="4" applyNumberFormat="1"/>
    <xf numFmtId="0" fontId="31" fillId="0" borderId="0" xfId="0" applyFont="1"/>
    <xf numFmtId="0" fontId="23" fillId="0" borderId="0" xfId="6" applyFont="1"/>
    <xf numFmtId="172" fontId="23" fillId="0" borderId="0" xfId="5" applyNumberFormat="1" applyFont="1" applyFill="1" applyBorder="1" applyAlignment="1">
      <alignment horizontal="right"/>
    </xf>
    <xf numFmtId="0" fontId="20" fillId="0" borderId="9" xfId="6" applyFont="1" applyBorder="1"/>
    <xf numFmtId="172" fontId="23" fillId="0" borderId="0" xfId="6" applyNumberFormat="1" applyFont="1"/>
    <xf numFmtId="172" fontId="23" fillId="2" borderId="0" xfId="6" applyNumberFormat="1" applyFont="1" applyFill="1"/>
    <xf numFmtId="0" fontId="23" fillId="0" borderId="13" xfId="4" applyFont="1" applyBorder="1"/>
    <xf numFmtId="172" fontId="23" fillId="0" borderId="10" xfId="6" applyNumberFormat="1" applyFont="1" applyBorder="1" applyAlignment="1">
      <alignment horizontal="right"/>
    </xf>
    <xf numFmtId="172" fontId="23" fillId="0" borderId="14" xfId="6" applyNumberFormat="1" applyFont="1" applyBorder="1" applyAlignment="1">
      <alignment horizontal="right"/>
    </xf>
    <xf numFmtId="172" fontId="22" fillId="0" borderId="0" xfId="6" applyNumberFormat="1" applyFont="1" applyAlignment="1">
      <alignment horizontal="right"/>
    </xf>
    <xf numFmtId="172" fontId="22" fillId="5" borderId="0" xfId="6" applyNumberFormat="1" applyFont="1" applyFill="1" applyAlignment="1">
      <alignment horizontal="right"/>
    </xf>
    <xf numFmtId="0" fontId="14" fillId="5" borderId="0" xfId="0" applyFont="1" applyFill="1"/>
    <xf numFmtId="172" fontId="11" fillId="0" borderId="0" xfId="5" applyNumberFormat="1" applyFont="1" applyBorder="1" applyAlignment="1">
      <alignment horizontal="right"/>
    </xf>
    <xf numFmtId="172" fontId="11" fillId="0" borderId="0" xfId="5" applyNumberFormat="1" applyFont="1" applyFill="1" applyBorder="1" applyAlignment="1">
      <alignment horizontal="right"/>
    </xf>
    <xf numFmtId="172" fontId="11" fillId="0" borderId="0" xfId="8" applyNumberFormat="1" applyFont="1" applyFill="1" applyBorder="1" applyAlignment="1">
      <alignment horizontal="right"/>
    </xf>
    <xf numFmtId="172" fontId="11" fillId="2" borderId="0" xfId="5" applyNumberFormat="1" applyFont="1" applyFill="1" applyBorder="1" applyAlignment="1">
      <alignment horizontal="right"/>
    </xf>
    <xf numFmtId="172" fontId="11" fillId="2" borderId="0" xfId="8" applyNumberFormat="1" applyFont="1" applyFill="1" applyBorder="1" applyAlignment="1">
      <alignment horizontal="right"/>
    </xf>
    <xf numFmtId="172" fontId="17" fillId="0" borderId="0" xfId="8" applyNumberFormat="1" applyFont="1" applyFill="1" applyBorder="1" applyAlignment="1">
      <alignment horizontal="right"/>
    </xf>
    <xf numFmtId="172" fontId="17" fillId="2" borderId="0" xfId="8" applyNumberFormat="1" applyFont="1" applyFill="1" applyBorder="1" applyAlignment="1">
      <alignment horizontal="right"/>
    </xf>
    <xf numFmtId="0" fontId="20" fillId="0" borderId="15" xfId="6" applyFont="1" applyBorder="1"/>
    <xf numFmtId="172" fontId="17" fillId="0" borderId="15" xfId="8" applyNumberFormat="1" applyFont="1" applyFill="1" applyBorder="1" applyAlignment="1">
      <alignment horizontal="right"/>
    </xf>
    <xf numFmtId="172" fontId="17" fillId="2" borderId="15" xfId="8" applyNumberFormat="1" applyFont="1" applyFill="1" applyBorder="1" applyAlignment="1">
      <alignment horizontal="right"/>
    </xf>
    <xf numFmtId="172" fontId="20" fillId="0" borderId="0" xfId="8" applyNumberFormat="1" applyFont="1" applyFill="1" applyBorder="1" applyAlignment="1">
      <alignment horizontal="right"/>
    </xf>
    <xf numFmtId="0" fontId="20" fillId="0" borderId="0" xfId="6" applyFont="1" applyAlignment="1">
      <alignment horizontal="left"/>
    </xf>
    <xf numFmtId="177" fontId="20" fillId="2" borderId="0" xfId="6" applyNumberFormat="1" applyFont="1" applyFill="1"/>
    <xf numFmtId="0" fontId="20" fillId="5" borderId="0" xfId="6" applyFont="1" applyFill="1"/>
    <xf numFmtId="172" fontId="17" fillId="2" borderId="0" xfId="5" applyNumberFormat="1" applyFont="1" applyFill="1" applyBorder="1" applyAlignment="1">
      <alignment horizontal="right"/>
    </xf>
    <xf numFmtId="0" fontId="20" fillId="5" borderId="9" xfId="6" applyFont="1" applyFill="1" applyBorder="1"/>
    <xf numFmtId="0" fontId="29" fillId="0" borderId="0" xfId="6" applyFont="1" applyAlignment="1">
      <alignment horizontal="left"/>
    </xf>
    <xf numFmtId="0" fontId="16" fillId="0" borderId="0" xfId="4" applyFont="1"/>
    <xf numFmtId="0" fontId="11" fillId="0" borderId="0" xfId="4" applyFont="1"/>
    <xf numFmtId="178" fontId="11" fillId="0" borderId="0" xfId="4" applyNumberFormat="1" applyFont="1" applyAlignment="1">
      <alignment horizontal="center"/>
    </xf>
    <xf numFmtId="0" fontId="11" fillId="3" borderId="0" xfId="4" applyFont="1" applyFill="1"/>
    <xf numFmtId="0" fontId="11" fillId="0" borderId="0" xfId="9" applyFont="1">
      <alignment vertical="top"/>
    </xf>
    <xf numFmtId="0" fontId="16" fillId="4" borderId="13" xfId="0" applyFont="1" applyFill="1" applyBorder="1"/>
    <xf numFmtId="0" fontId="11" fillId="4" borderId="14" xfId="0" applyFont="1" applyFill="1" applyBorder="1" applyAlignment="1">
      <alignment horizontal="centerContinuous"/>
    </xf>
    <xf numFmtId="0" fontId="11" fillId="0" borderId="16" xfId="0" applyFont="1" applyBorder="1"/>
    <xf numFmtId="166" fontId="17" fillId="2" borderId="17" xfId="0" applyNumberFormat="1" applyFont="1" applyFill="1" applyBorder="1"/>
    <xf numFmtId="0" fontId="32" fillId="0" borderId="16" xfId="0" applyFont="1" applyBorder="1" applyAlignment="1">
      <alignment horizontal="left" indent="1"/>
    </xf>
    <xf numFmtId="167" fontId="32" fillId="0" borderId="17" xfId="0" applyNumberFormat="1" applyFont="1" applyBorder="1"/>
    <xf numFmtId="0" fontId="32" fillId="0" borderId="18" xfId="0" applyFont="1" applyBorder="1" applyAlignment="1">
      <alignment horizontal="left" indent="1"/>
    </xf>
    <xf numFmtId="167" fontId="11" fillId="0" borderId="19" xfId="0" applyNumberFormat="1" applyFont="1" applyBorder="1"/>
    <xf numFmtId="0" fontId="16" fillId="0" borderId="18" xfId="0" applyFont="1" applyBorder="1" applyAlignment="1">
      <alignment horizontal="left"/>
    </xf>
    <xf numFmtId="166" fontId="16" fillId="0" borderId="19" xfId="0" applyNumberFormat="1" applyFont="1" applyBorder="1"/>
    <xf numFmtId="0" fontId="32" fillId="0" borderId="0" xfId="0" applyFont="1" applyAlignment="1">
      <alignment horizontal="left" indent="1"/>
    </xf>
    <xf numFmtId="0" fontId="16" fillId="4" borderId="20" xfId="10" applyFont="1" applyFill="1" applyBorder="1"/>
    <xf numFmtId="0" fontId="16" fillId="4" borderId="21" xfId="10" applyFont="1" applyFill="1" applyBorder="1"/>
    <xf numFmtId="0" fontId="11" fillId="5" borderId="16" xfId="9" applyFont="1" applyFill="1" applyBorder="1">
      <alignment vertical="top"/>
    </xf>
    <xf numFmtId="167" fontId="17" fillId="2" borderId="17" xfId="0" applyNumberFormat="1" applyFont="1" applyFill="1" applyBorder="1"/>
    <xf numFmtId="0" fontId="11" fillId="0" borderId="16" xfId="9" applyFont="1" applyBorder="1">
      <alignment vertical="top"/>
    </xf>
    <xf numFmtId="167" fontId="11" fillId="0" borderId="17" xfId="0" applyNumberFormat="1" applyFont="1" applyBorder="1"/>
    <xf numFmtId="0" fontId="11" fillId="0" borderId="18" xfId="9" applyFont="1" applyBorder="1">
      <alignment vertical="top"/>
    </xf>
    <xf numFmtId="0" fontId="16" fillId="0" borderId="16" xfId="9" applyFont="1" applyBorder="1">
      <alignment vertical="top"/>
    </xf>
    <xf numFmtId="167" fontId="16" fillId="0" borderId="17" xfId="12" applyNumberFormat="1" applyFont="1" applyFill="1" applyBorder="1" applyAlignment="1">
      <alignment horizontal="right" vertical="center"/>
    </xf>
    <xf numFmtId="0" fontId="11" fillId="5" borderId="18" xfId="9" applyFont="1" applyFill="1" applyBorder="1">
      <alignment vertical="top"/>
    </xf>
    <xf numFmtId="0" fontId="16" fillId="0" borderId="13" xfId="9" applyFont="1" applyBorder="1">
      <alignment vertical="top"/>
    </xf>
    <xf numFmtId="0" fontId="16" fillId="0" borderId="18" xfId="9" applyFont="1" applyBorder="1">
      <alignment vertical="top"/>
    </xf>
    <xf numFmtId="180" fontId="11" fillId="0" borderId="0" xfId="4" applyNumberFormat="1" applyFont="1" applyAlignment="1">
      <alignment horizontal="right"/>
    </xf>
    <xf numFmtId="175" fontId="16" fillId="0" borderId="0" xfId="4" applyNumberFormat="1" applyFont="1" applyAlignment="1">
      <alignment horizontal="centerContinuous"/>
    </xf>
    <xf numFmtId="0" fontId="11" fillId="0" borderId="9" xfId="0" applyFont="1" applyBorder="1"/>
    <xf numFmtId="0" fontId="11" fillId="0" borderId="9" xfId="4" applyFont="1" applyBorder="1"/>
    <xf numFmtId="0" fontId="11" fillId="0" borderId="11" xfId="4" applyFont="1" applyBorder="1"/>
    <xf numFmtId="177" fontId="11" fillId="0" borderId="0" xfId="6" applyNumberFormat="1" applyFont="1"/>
    <xf numFmtId="0" fontId="16" fillId="4" borderId="20" xfId="10" applyFont="1" applyFill="1" applyBorder="1" applyAlignment="1">
      <alignment horizontal="left" vertical="center"/>
    </xf>
    <xf numFmtId="0" fontId="11" fillId="4" borderId="22" xfId="4" applyFont="1" applyFill="1" applyBorder="1" applyAlignment="1">
      <alignment horizontal="centerContinuous" vertical="center"/>
    </xf>
    <xf numFmtId="181" fontId="11" fillId="6" borderId="16" xfId="13" applyFont="1" applyFill="1" applyBorder="1" applyAlignment="1">
      <alignment horizontal="left"/>
    </xf>
    <xf numFmtId="181" fontId="32" fillId="6" borderId="16" xfId="13" applyFont="1" applyFill="1" applyBorder="1" applyAlignment="1">
      <alignment horizontal="left" indent="1"/>
    </xf>
    <xf numFmtId="0" fontId="11" fillId="6" borderId="16" xfId="10" applyFont="1" applyFill="1" applyBorder="1"/>
    <xf numFmtId="181" fontId="32" fillId="6" borderId="18" xfId="13" applyFont="1" applyFill="1" applyBorder="1" applyAlignment="1">
      <alignment horizontal="left" indent="1"/>
    </xf>
    <xf numFmtId="0" fontId="16" fillId="0" borderId="16" xfId="14" applyFont="1" applyBorder="1"/>
    <xf numFmtId="0" fontId="11" fillId="0" borderId="15" xfId="4" applyFont="1" applyBorder="1"/>
    <xf numFmtId="0" fontId="16" fillId="0" borderId="0" xfId="0" applyFont="1"/>
    <xf numFmtId="181" fontId="11" fillId="6" borderId="24" xfId="13" applyFont="1" applyFill="1" applyBorder="1"/>
    <xf numFmtId="181" fontId="16" fillId="6" borderId="16" xfId="13" applyFont="1" applyFill="1" applyBorder="1"/>
    <xf numFmtId="0" fontId="11" fillId="0" borderId="24" xfId="4" applyFont="1" applyBorder="1"/>
    <xf numFmtId="0" fontId="16" fillId="0" borderId="16" xfId="4" applyFont="1" applyBorder="1"/>
    <xf numFmtId="0" fontId="11" fillId="0" borderId="16" xfId="4" applyFont="1" applyBorder="1" applyAlignment="1">
      <alignment horizontal="left"/>
    </xf>
    <xf numFmtId="0" fontId="11" fillId="0" borderId="24" xfId="4" applyFont="1" applyBorder="1" applyAlignment="1">
      <alignment horizontal="left"/>
    </xf>
    <xf numFmtId="177" fontId="11" fillId="0" borderId="15" xfId="6" applyNumberFormat="1" applyFont="1" applyBorder="1"/>
    <xf numFmtId="167" fontId="11" fillId="0" borderId="26" xfId="6" applyNumberFormat="1" applyFont="1" applyBorder="1"/>
    <xf numFmtId="0" fontId="32" fillId="0" borderId="0" xfId="4" applyFont="1" applyAlignment="1">
      <alignment horizontal="left" indent="1"/>
    </xf>
    <xf numFmtId="0" fontId="11" fillId="3" borderId="0" xfId="0" applyFont="1" applyFill="1"/>
    <xf numFmtId="0" fontId="34" fillId="3" borderId="0" xfId="0" applyFont="1" applyFill="1" applyAlignment="1">
      <alignment horizontal="left"/>
    </xf>
    <xf numFmtId="0" fontId="35" fillId="0" borderId="0" xfId="0" applyFont="1" applyAlignment="1">
      <alignment horizontal="centerContinuous"/>
    </xf>
    <xf numFmtId="0" fontId="11" fillId="0" borderId="0" xfId="0" applyFont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187" fontId="17" fillId="0" borderId="0" xfId="0" applyNumberFormat="1" applyFont="1"/>
    <xf numFmtId="179" fontId="11" fillId="0" borderId="0" xfId="1" applyNumberFormat="1" applyFont="1" applyFill="1"/>
    <xf numFmtId="44" fontId="11" fillId="0" borderId="0" xfId="2" applyFont="1" applyFill="1"/>
    <xf numFmtId="9" fontId="11" fillId="0" borderId="0" xfId="3" applyFont="1" applyFill="1"/>
    <xf numFmtId="0" fontId="13" fillId="0" borderId="0" xfId="15" applyFont="1" applyAlignment="1">
      <alignment vertical="center"/>
    </xf>
    <xf numFmtId="44" fontId="13" fillId="0" borderId="0" xfId="15" applyNumberFormat="1" applyFont="1" applyAlignment="1">
      <alignment vertical="center"/>
    </xf>
    <xf numFmtId="9" fontId="13" fillId="0" borderId="0" xfId="3" applyFont="1" applyFill="1" applyAlignment="1">
      <alignment vertical="center"/>
    </xf>
    <xf numFmtId="0" fontId="11" fillId="0" borderId="0" xfId="4" applyFont="1" applyAlignment="1">
      <alignment horizontal="left"/>
    </xf>
    <xf numFmtId="167" fontId="11" fillId="0" borderId="0" xfId="6" applyNumberFormat="1" applyFont="1"/>
    <xf numFmtId="189" fontId="11" fillId="0" borderId="31" xfId="0" applyNumberFormat="1" applyFont="1" applyBorder="1" applyAlignment="1">
      <alignment horizontal="center" vertical="center"/>
    </xf>
    <xf numFmtId="179" fontId="11" fillId="0" borderId="0" xfId="1" applyNumberFormat="1" applyFont="1" applyFill="1" applyBorder="1"/>
    <xf numFmtId="44" fontId="11" fillId="0" borderId="0" xfId="2" applyFont="1" applyFill="1" applyBorder="1"/>
    <xf numFmtId="172" fontId="17" fillId="0" borderId="9" xfId="5" applyNumberFormat="1" applyFont="1" applyFill="1" applyBorder="1" applyAlignment="1">
      <alignment horizontal="right"/>
    </xf>
    <xf numFmtId="179" fontId="11" fillId="0" borderId="15" xfId="1" applyNumberFormat="1" applyFont="1" applyFill="1" applyBorder="1"/>
    <xf numFmtId="44" fontId="11" fillId="0" borderId="15" xfId="2" applyFont="1" applyFill="1" applyBorder="1"/>
    <xf numFmtId="189" fontId="20" fillId="0" borderId="25" xfId="0" applyNumberFormat="1" applyFont="1" applyBorder="1" applyAlignment="1">
      <alignment horizontal="center" vertical="center"/>
    </xf>
    <xf numFmtId="189" fontId="20" fillId="0" borderId="17" xfId="0" applyNumberFormat="1" applyFont="1" applyBorder="1" applyAlignment="1">
      <alignment horizontal="center" vertical="center"/>
    </xf>
    <xf numFmtId="189" fontId="20" fillId="0" borderId="26" xfId="0" applyNumberFormat="1" applyFont="1" applyBorder="1" applyAlignment="1">
      <alignment horizontal="center" vertical="center"/>
    </xf>
    <xf numFmtId="189" fontId="20" fillId="0" borderId="11" xfId="0" applyNumberFormat="1" applyFont="1" applyBorder="1" applyAlignment="1">
      <alignment horizontal="center" vertical="center"/>
    </xf>
    <xf numFmtId="189" fontId="20" fillId="0" borderId="9" xfId="0" applyNumberFormat="1" applyFont="1" applyBorder="1" applyAlignment="1">
      <alignment horizontal="center" vertical="center"/>
    </xf>
    <xf numFmtId="168" fontId="17" fillId="2" borderId="19" xfId="11" applyNumberFormat="1" applyFont="1" applyFill="1" applyBorder="1" applyAlignment="1">
      <alignment horizontal="right" vertical="center"/>
    </xf>
    <xf numFmtId="172" fontId="11" fillId="2" borderId="0" xfId="4" applyNumberFormat="1" applyFont="1" applyFill="1"/>
    <xf numFmtId="172" fontId="11" fillId="0" borderId="11" xfId="4" applyNumberFormat="1" applyFont="1" applyBorder="1"/>
    <xf numFmtId="172" fontId="11" fillId="0" borderId="0" xfId="4" applyNumberFormat="1" applyFont="1"/>
    <xf numFmtId="166" fontId="11" fillId="0" borderId="10" xfId="0" applyNumberFormat="1" applyFont="1" applyBorder="1" applyAlignment="1">
      <alignment horizontal="left"/>
    </xf>
    <xf numFmtId="167" fontId="11" fillId="0" borderId="10" xfId="0" applyNumberFormat="1" applyFont="1" applyBorder="1" applyAlignment="1">
      <alignment horizontal="left"/>
    </xf>
    <xf numFmtId="168" fontId="11" fillId="0" borderId="10" xfId="0" applyNumberFormat="1" applyFont="1" applyBorder="1" applyAlignment="1">
      <alignment horizontal="left"/>
    </xf>
    <xf numFmtId="169" fontId="11" fillId="0" borderId="11" xfId="0" applyNumberFormat="1" applyFont="1" applyBorder="1" applyAlignment="1">
      <alignment horizontal="left"/>
    </xf>
    <xf numFmtId="171" fontId="16" fillId="5" borderId="0" xfId="0" applyNumberFormat="1" applyFont="1" applyFill="1" applyAlignment="1">
      <alignment horizontal="center" vertical="center" wrapText="1"/>
    </xf>
    <xf numFmtId="190" fontId="17" fillId="0" borderId="0" xfId="0" applyNumberFormat="1" applyFont="1" applyAlignment="1">
      <alignment horizontal="center" vertical="center"/>
    </xf>
    <xf numFmtId="172" fontId="17" fillId="0" borderId="0" xfId="0" applyNumberFormat="1" applyFont="1" applyAlignment="1">
      <alignment horizontal="center" vertical="center"/>
    </xf>
    <xf numFmtId="185" fontId="11" fillId="0" borderId="0" xfId="2" applyNumberFormat="1" applyFont="1" applyFill="1" applyBorder="1"/>
    <xf numFmtId="167" fontId="16" fillId="0" borderId="14" xfId="4" applyNumberFormat="1" applyFont="1" applyBorder="1" applyAlignment="1">
      <alignment horizontal="right"/>
    </xf>
    <xf numFmtId="181" fontId="11" fillId="6" borderId="16" xfId="13" quotePrefix="1" applyFont="1" applyFill="1" applyBorder="1" applyAlignment="1">
      <alignment horizontal="left"/>
    </xf>
    <xf numFmtId="14" fontId="14" fillId="0" borderId="0" xfId="0" applyNumberFormat="1" applyFont="1"/>
    <xf numFmtId="14" fontId="14" fillId="0" borderId="0" xfId="0" applyNumberFormat="1" applyFont="1" applyAlignment="1">
      <alignment wrapText="1"/>
    </xf>
    <xf numFmtId="0" fontId="42" fillId="0" borderId="0" xfId="0" applyFont="1"/>
    <xf numFmtId="172" fontId="23" fillId="2" borderId="0" xfId="4" applyNumberFormat="1" applyFont="1" applyFill="1" applyAlignment="1">
      <alignment horizontal="right"/>
    </xf>
    <xf numFmtId="172" fontId="23" fillId="2" borderId="0" xfId="5" applyNumberFormat="1" applyFont="1" applyFill="1" applyBorder="1" applyAlignment="1">
      <alignment horizontal="right"/>
    </xf>
    <xf numFmtId="0" fontId="28" fillId="0" borderId="0" xfId="6" applyFont="1" applyAlignment="1">
      <alignment horizontal="left"/>
    </xf>
    <xf numFmtId="0" fontId="28" fillId="0" borderId="0" xfId="4" applyFont="1"/>
    <xf numFmtId="172" fontId="43" fillId="0" borderId="0" xfId="5" applyNumberFormat="1" applyFont="1" applyBorder="1" applyAlignment="1">
      <alignment horizontal="right"/>
    </xf>
    <xf numFmtId="166" fontId="43" fillId="0" borderId="0" xfId="4" applyNumberFormat="1" applyFont="1" applyAlignment="1">
      <alignment horizontal="right"/>
    </xf>
    <xf numFmtId="172" fontId="17" fillId="0" borderId="0" xfId="5" applyNumberFormat="1" applyFont="1" applyBorder="1" applyAlignment="1">
      <alignment horizontal="right"/>
    </xf>
    <xf numFmtId="3" fontId="18" fillId="0" borderId="0" xfId="0" applyNumberFormat="1" applyFont="1"/>
    <xf numFmtId="0" fontId="44" fillId="7" borderId="0" xfId="0" applyFont="1" applyFill="1"/>
    <xf numFmtId="0" fontId="45" fillId="7" borderId="0" xfId="0" applyFont="1" applyFill="1"/>
    <xf numFmtId="0" fontId="44" fillId="7" borderId="16" xfId="0" applyFont="1" applyFill="1" applyBorder="1"/>
    <xf numFmtId="0" fontId="44" fillId="0" borderId="0" xfId="0" applyFont="1"/>
    <xf numFmtId="15" fontId="47" fillId="0" borderId="0" xfId="0" applyNumberFormat="1" applyFont="1" applyAlignment="1">
      <alignment horizontal="center"/>
    </xf>
    <xf numFmtId="171" fontId="48" fillId="0" borderId="0" xfId="0" applyNumberFormat="1" applyFont="1" applyAlignment="1">
      <alignment horizontal="center"/>
    </xf>
    <xf numFmtId="0" fontId="50" fillId="0" borderId="0" xfId="0" applyFont="1"/>
    <xf numFmtId="194" fontId="51" fillId="0" borderId="0" xfId="0" applyNumberFormat="1" applyFont="1"/>
    <xf numFmtId="180" fontId="51" fillId="0" borderId="0" xfId="3" applyNumberFormat="1" applyFont="1"/>
    <xf numFmtId="9" fontId="54" fillId="10" borderId="27" xfId="3" applyFont="1" applyFill="1" applyBorder="1"/>
    <xf numFmtId="9" fontId="51" fillId="0" borderId="0" xfId="3" applyFont="1"/>
    <xf numFmtId="9" fontId="54" fillId="5" borderId="0" xfId="3" applyFont="1" applyFill="1" applyBorder="1"/>
    <xf numFmtId="44" fontId="51" fillId="0" borderId="0" xfId="2" applyFont="1"/>
    <xf numFmtId="0" fontId="0" fillId="0" borderId="16" xfId="0" applyBorder="1"/>
    <xf numFmtId="0" fontId="57" fillId="3" borderId="0" xfId="0" applyFont="1" applyFill="1"/>
    <xf numFmtId="0" fontId="1" fillId="0" borderId="0" xfId="0" applyFont="1" applyAlignment="1">
      <alignment horizontal="left" indent="1"/>
    </xf>
    <xf numFmtId="0" fontId="44" fillId="0" borderId="0" xfId="0" applyFont="1" applyAlignment="1">
      <alignment horizontal="left" indent="1"/>
    </xf>
    <xf numFmtId="0" fontId="44" fillId="0" borderId="0" xfId="0" applyFont="1" applyAlignment="1">
      <alignment horizontal="left"/>
    </xf>
    <xf numFmtId="0" fontId="48" fillId="0" borderId="0" xfId="0" applyFont="1"/>
    <xf numFmtId="0" fontId="44" fillId="0" borderId="11" xfId="0" applyFont="1" applyBorder="1" applyAlignment="1">
      <alignment horizontal="left"/>
    </xf>
    <xf numFmtId="0" fontId="44" fillId="0" borderId="11" xfId="0" applyFont="1" applyBorder="1"/>
    <xf numFmtId="199" fontId="50" fillId="0" borderId="0" xfId="0" applyNumberFormat="1" applyFont="1"/>
    <xf numFmtId="199" fontId="44" fillId="0" borderId="0" xfId="0" applyNumberFormat="1" applyFont="1"/>
    <xf numFmtId="199" fontId="58" fillId="0" borderId="0" xfId="0" applyNumberFormat="1" applyFont="1"/>
    <xf numFmtId="199" fontId="0" fillId="0" borderId="0" xfId="0" applyNumberFormat="1"/>
    <xf numFmtId="199" fontId="44" fillId="0" borderId="11" xfId="0" applyNumberFormat="1" applyFont="1" applyBorder="1"/>
    <xf numFmtId="9" fontId="44" fillId="0" borderId="0" xfId="3" applyFont="1"/>
    <xf numFmtId="199" fontId="48" fillId="0" borderId="0" xfId="0" applyNumberFormat="1" applyFont="1"/>
    <xf numFmtId="199" fontId="59" fillId="0" borderId="0" xfId="0" applyNumberFormat="1" applyFont="1"/>
    <xf numFmtId="199" fontId="60" fillId="0" borderId="0" xfId="0" applyNumberFormat="1" applyFont="1"/>
    <xf numFmtId="0" fontId="47" fillId="0" borderId="0" xfId="0" applyFont="1" applyAlignment="1">
      <alignment horizontal="left" indent="1"/>
    </xf>
    <xf numFmtId="9" fontId="59" fillId="0" borderId="0" xfId="3" applyFont="1"/>
    <xf numFmtId="189" fontId="11" fillId="0" borderId="0" xfId="0" applyNumberFormat="1" applyFont="1" applyAlignment="1">
      <alignment horizontal="center" vertical="center"/>
    </xf>
    <xf numFmtId="189" fontId="20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89" fontId="11" fillId="0" borderId="10" xfId="0" applyNumberFormat="1" applyFont="1" applyBorder="1" applyAlignment="1">
      <alignment horizontal="center" vertical="center"/>
    </xf>
    <xf numFmtId="189" fontId="11" fillId="0" borderId="14" xfId="0" applyNumberFormat="1" applyFont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171" fontId="16" fillId="5" borderId="29" xfId="0" applyNumberFormat="1" applyFont="1" applyFill="1" applyBorder="1" applyAlignment="1">
      <alignment horizontal="center" vertical="center" wrapText="1"/>
    </xf>
    <xf numFmtId="189" fontId="11" fillId="0" borderId="39" xfId="0" applyNumberFormat="1" applyFont="1" applyBorder="1" applyAlignment="1">
      <alignment horizontal="center" vertical="center"/>
    </xf>
    <xf numFmtId="203" fontId="44" fillId="0" borderId="0" xfId="0" applyNumberFormat="1" applyFont="1"/>
    <xf numFmtId="194" fontId="51" fillId="5" borderId="0" xfId="0" applyNumberFormat="1" applyFont="1" applyFill="1"/>
    <xf numFmtId="0" fontId="44" fillId="5" borderId="0" xfId="0" applyFont="1" applyFill="1"/>
    <xf numFmtId="199" fontId="44" fillId="5" borderId="0" xfId="0" applyNumberFormat="1" applyFont="1" applyFill="1"/>
    <xf numFmtId="39" fontId="44" fillId="5" borderId="0" xfId="0" applyNumberFormat="1" applyFont="1" applyFill="1"/>
    <xf numFmtId="0" fontId="45" fillId="5" borderId="0" xfId="0" applyFont="1" applyFill="1"/>
    <xf numFmtId="176" fontId="51" fillId="5" borderId="0" xfId="0" applyNumberFormat="1" applyFont="1" applyFill="1"/>
    <xf numFmtId="0" fontId="45" fillId="5" borderId="0" xfId="0" applyFont="1" applyFill="1" applyAlignment="1">
      <alignment horizontal="left" indent="1"/>
    </xf>
    <xf numFmtId="180" fontId="52" fillId="5" borderId="0" xfId="3" applyNumberFormat="1" applyFont="1" applyFill="1" applyBorder="1"/>
    <xf numFmtId="180" fontId="51" fillId="5" borderId="0" xfId="3" applyNumberFormat="1" applyFont="1" applyFill="1" applyBorder="1"/>
    <xf numFmtId="195" fontId="51" fillId="5" borderId="0" xfId="0" applyNumberFormat="1" applyFont="1" applyFill="1"/>
    <xf numFmtId="9" fontId="51" fillId="5" borderId="0" xfId="3" applyFont="1" applyFill="1" applyBorder="1"/>
    <xf numFmtId="44" fontId="51" fillId="5" borderId="0" xfId="2" applyFont="1" applyFill="1" applyBorder="1"/>
    <xf numFmtId="0" fontId="44" fillId="13" borderId="0" xfId="0" applyFont="1" applyFill="1"/>
    <xf numFmtId="9" fontId="60" fillId="0" borderId="0" xfId="3" applyFont="1"/>
    <xf numFmtId="203" fontId="59" fillId="0" borderId="0" xfId="0" applyNumberFormat="1" applyFont="1" applyAlignment="1">
      <alignment horizontal="right"/>
    </xf>
    <xf numFmtId="203" fontId="59" fillId="0" borderId="0" xfId="0" applyNumberFormat="1" applyFont="1"/>
    <xf numFmtId="203" fontId="59" fillId="0" borderId="0" xfId="3" applyNumberFormat="1" applyFont="1"/>
    <xf numFmtId="199" fontId="58" fillId="5" borderId="0" xfId="0" applyNumberFormat="1" applyFont="1" applyFill="1"/>
    <xf numFmtId="199" fontId="60" fillId="5" borderId="0" xfId="0" applyNumberFormat="1" applyFont="1" applyFill="1"/>
    <xf numFmtId="9" fontId="54" fillId="10" borderId="23" xfId="3" applyFont="1" applyFill="1" applyBorder="1"/>
    <xf numFmtId="0" fontId="47" fillId="0" borderId="0" xfId="0" applyFont="1" applyAlignment="1">
      <alignment horizontal="left" indent="2"/>
    </xf>
    <xf numFmtId="180" fontId="54" fillId="10" borderId="27" xfId="3" applyNumberFormat="1" applyFont="1" applyFill="1" applyBorder="1"/>
    <xf numFmtId="0" fontId="54" fillId="10" borderId="27" xfId="3" applyNumberFormat="1" applyFont="1" applyFill="1" applyBorder="1"/>
    <xf numFmtId="180" fontId="54" fillId="5" borderId="0" xfId="3" applyNumberFormat="1" applyFont="1" applyFill="1" applyBorder="1"/>
    <xf numFmtId="0" fontId="54" fillId="5" borderId="0" xfId="3" applyNumberFormat="1" applyFont="1" applyFill="1" applyBorder="1"/>
    <xf numFmtId="166" fontId="64" fillId="2" borderId="0" xfId="4" applyNumberFormat="1" applyFont="1" applyFill="1" applyAlignment="1">
      <alignment horizontal="right"/>
    </xf>
    <xf numFmtId="0" fontId="49" fillId="14" borderId="0" xfId="0" applyFont="1" applyFill="1"/>
    <xf numFmtId="0" fontId="46" fillId="14" borderId="0" xfId="0" applyFont="1" applyFill="1"/>
    <xf numFmtId="9" fontId="11" fillId="0" borderId="0" xfId="3" applyFont="1"/>
    <xf numFmtId="199" fontId="11" fillId="0" borderId="0" xfId="0" applyNumberFormat="1" applyFont="1"/>
    <xf numFmtId="199" fontId="64" fillId="0" borderId="0" xfId="0" applyNumberFormat="1" applyFont="1"/>
    <xf numFmtId="180" fontId="11" fillId="0" borderId="0" xfId="3" applyNumberFormat="1" applyFont="1"/>
    <xf numFmtId="180" fontId="17" fillId="0" borderId="0" xfId="3" applyNumberFormat="1" applyFont="1"/>
    <xf numFmtId="199" fontId="20" fillId="0" borderId="0" xfId="0" applyNumberFormat="1" applyFont="1"/>
    <xf numFmtId="172" fontId="20" fillId="2" borderId="0" xfId="4" applyNumberFormat="1" applyFill="1" applyAlignment="1">
      <alignment horizontal="right"/>
    </xf>
    <xf numFmtId="199" fontId="43" fillId="0" borderId="0" xfId="0" applyNumberFormat="1" applyFont="1"/>
    <xf numFmtId="172" fontId="64" fillId="2" borderId="0" xfId="4" applyNumberFormat="1" applyFont="1" applyFill="1" applyAlignment="1">
      <alignment horizontal="right"/>
    </xf>
    <xf numFmtId="180" fontId="20" fillId="2" borderId="0" xfId="3" applyNumberFormat="1" applyFont="1" applyFill="1" applyBorder="1" applyAlignment="1">
      <alignment horizontal="right"/>
    </xf>
    <xf numFmtId="166" fontId="43" fillId="2" borderId="0" xfId="4" applyNumberFormat="1" applyFont="1" applyFill="1" applyAlignment="1">
      <alignment horizontal="right"/>
    </xf>
    <xf numFmtId="0" fontId="65" fillId="0" borderId="0" xfId="0" applyFont="1"/>
    <xf numFmtId="199" fontId="11" fillId="3" borderId="0" xfId="4" applyNumberFormat="1" applyFont="1" applyFill="1"/>
    <xf numFmtId="199" fontId="17" fillId="0" borderId="0" xfId="0" applyNumberFormat="1" applyFont="1"/>
    <xf numFmtId="180" fontId="22" fillId="0" borderId="0" xfId="3" applyNumberFormat="1" applyFont="1" applyAlignment="1">
      <alignment horizontal="right"/>
    </xf>
    <xf numFmtId="180" fontId="66" fillId="0" borderId="0" xfId="3" applyNumberFormat="1" applyFont="1" applyAlignment="1">
      <alignment horizontal="right"/>
    </xf>
    <xf numFmtId="180" fontId="67" fillId="0" borderId="0" xfId="3" applyNumberFormat="1" applyFont="1" applyAlignment="1">
      <alignment horizontal="right"/>
    </xf>
    <xf numFmtId="166" fontId="20" fillId="2" borderId="0" xfId="4" applyNumberFormat="1" applyFill="1" applyAlignment="1">
      <alignment horizontal="right"/>
    </xf>
    <xf numFmtId="166" fontId="43" fillId="2" borderId="9" xfId="4" applyNumberFormat="1" applyFont="1" applyFill="1" applyBorder="1" applyAlignment="1">
      <alignment horizontal="right"/>
    </xf>
    <xf numFmtId="180" fontId="43" fillId="0" borderId="0" xfId="3" applyNumberFormat="1" applyFont="1"/>
    <xf numFmtId="172" fontId="43" fillId="2" borderId="0" xfId="5" applyNumberFormat="1" applyFont="1" applyFill="1" applyBorder="1" applyAlignment="1">
      <alignment horizontal="right"/>
    </xf>
    <xf numFmtId="199" fontId="43" fillId="0" borderId="0" xfId="3" applyNumberFormat="1" applyFont="1"/>
    <xf numFmtId="0" fontId="68" fillId="0" borderId="0" xfId="0" applyFont="1"/>
    <xf numFmtId="180" fontId="14" fillId="0" borderId="0" xfId="3" applyNumberFormat="1" applyFont="1"/>
    <xf numFmtId="180" fontId="69" fillId="0" borderId="0" xfId="3" applyNumberFormat="1" applyFont="1"/>
    <xf numFmtId="180" fontId="70" fillId="0" borderId="0" xfId="3" applyNumberFormat="1" applyFont="1"/>
    <xf numFmtId="172" fontId="64" fillId="2" borderId="0" xfId="5" applyNumberFormat="1" applyFont="1" applyFill="1" applyBorder="1" applyAlignment="1">
      <alignment horizontal="right"/>
    </xf>
    <xf numFmtId="172" fontId="43" fillId="2" borderId="0" xfId="8" applyNumberFormat="1" applyFont="1" applyFill="1" applyBorder="1" applyAlignment="1">
      <alignment horizontal="right"/>
    </xf>
    <xf numFmtId="172" fontId="43" fillId="2" borderId="15" xfId="8" applyNumberFormat="1" applyFont="1" applyFill="1" applyBorder="1" applyAlignment="1">
      <alignment horizontal="right"/>
    </xf>
    <xf numFmtId="172" fontId="64" fillId="2" borderId="0" xfId="6" applyNumberFormat="1" applyFont="1" applyFill="1"/>
    <xf numFmtId="172" fontId="23" fillId="0" borderId="0" xfId="8" applyNumberFormat="1" applyFont="1" applyFill="1" applyBorder="1" applyAlignment="1">
      <alignment horizontal="right"/>
    </xf>
    <xf numFmtId="172" fontId="23" fillId="0" borderId="11" xfId="8" applyNumberFormat="1" applyFont="1" applyFill="1" applyBorder="1" applyAlignment="1">
      <alignment horizontal="right"/>
    </xf>
    <xf numFmtId="172" fontId="23" fillId="2" borderId="11" xfId="8" applyNumberFormat="1" applyFont="1" applyFill="1" applyBorder="1" applyAlignment="1">
      <alignment horizontal="right"/>
    </xf>
    <xf numFmtId="172" fontId="43" fillId="2" borderId="0" xfId="6" applyNumberFormat="1" applyFont="1" applyFill="1"/>
    <xf numFmtId="9" fontId="11" fillId="2" borderId="0" xfId="3" applyFont="1" applyFill="1"/>
    <xf numFmtId="180" fontId="64" fillId="0" borderId="9" xfId="3" applyNumberFormat="1" applyFont="1" applyBorder="1"/>
    <xf numFmtId="180" fontId="64" fillId="2" borderId="9" xfId="3" applyNumberFormat="1" applyFont="1" applyFill="1" applyBorder="1"/>
    <xf numFmtId="0" fontId="11" fillId="2" borderId="0" xfId="3" applyNumberFormat="1" applyFont="1" applyFill="1"/>
    <xf numFmtId="0" fontId="17" fillId="2" borderId="0" xfId="3" applyNumberFormat="1" applyFont="1" applyFill="1"/>
    <xf numFmtId="172" fontId="64" fillId="2" borderId="0" xfId="4" applyNumberFormat="1" applyFont="1" applyFill="1"/>
    <xf numFmtId="172" fontId="64" fillId="2" borderId="9" xfId="4" applyNumberFormat="1" applyFont="1" applyFill="1" applyBorder="1"/>
    <xf numFmtId="180" fontId="64" fillId="0" borderId="0" xfId="3" applyNumberFormat="1" applyFont="1"/>
    <xf numFmtId="9" fontId="17" fillId="0" borderId="0" xfId="3" applyFont="1"/>
    <xf numFmtId="167" fontId="64" fillId="2" borderId="17" xfId="0" applyNumberFormat="1" applyFont="1" applyFill="1" applyBorder="1"/>
    <xf numFmtId="0" fontId="11" fillId="4" borderId="22" xfId="10" applyFont="1" applyFill="1" applyBorder="1" applyAlignment="1">
      <alignment horizontal="centerContinuous" vertical="center"/>
    </xf>
    <xf numFmtId="167" fontId="17" fillId="2" borderId="0" xfId="10" applyNumberFormat="1" applyFont="1" applyFill="1" applyAlignment="1" applyProtection="1">
      <alignment horizontal="right"/>
      <protection locked="0"/>
    </xf>
    <xf numFmtId="182" fontId="11" fillId="0" borderId="0" xfId="10" applyNumberFormat="1" applyFont="1" applyAlignment="1">
      <alignment horizontal="right"/>
    </xf>
    <xf numFmtId="183" fontId="32" fillId="0" borderId="0" xfId="12" applyNumberFormat="1" applyFont="1" applyFill="1" applyBorder="1" applyAlignment="1">
      <alignment horizontal="right"/>
    </xf>
    <xf numFmtId="184" fontId="32" fillId="0" borderId="9" xfId="12" applyNumberFormat="1" applyFont="1" applyFill="1" applyBorder="1" applyAlignment="1">
      <alignment horizontal="right"/>
    </xf>
    <xf numFmtId="172" fontId="16" fillId="0" borderId="24" xfId="10" applyNumberFormat="1" applyFont="1" applyBorder="1" applyAlignment="1">
      <alignment horizontal="right"/>
    </xf>
    <xf numFmtId="166" fontId="19" fillId="0" borderId="0" xfId="10" applyNumberFormat="1" applyFont="1" applyAlignment="1" applyProtection="1">
      <alignment horizontal="right"/>
      <protection locked="0"/>
    </xf>
    <xf numFmtId="166" fontId="17" fillId="2" borderId="9" xfId="3" applyNumberFormat="1" applyFont="1" applyFill="1" applyBorder="1" applyAlignment="1" applyProtection="1">
      <alignment horizontal="right"/>
      <protection locked="0"/>
    </xf>
    <xf numFmtId="185" fontId="16" fillId="0" borderId="13" xfId="4" applyNumberFormat="1" applyFont="1" applyBorder="1"/>
    <xf numFmtId="185" fontId="11" fillId="0" borderId="0" xfId="6" applyNumberFormat="1" applyFont="1"/>
    <xf numFmtId="205" fontId="14" fillId="0" borderId="0" xfId="0" applyNumberFormat="1" applyFont="1"/>
    <xf numFmtId="205" fontId="69" fillId="0" borderId="0" xfId="0" applyNumberFormat="1" applyFont="1"/>
    <xf numFmtId="206" fontId="14" fillId="0" borderId="0" xfId="3" applyNumberFormat="1" applyFont="1" applyBorder="1"/>
    <xf numFmtId="199" fontId="46" fillId="0" borderId="0" xfId="0" applyNumberFormat="1" applyFont="1"/>
    <xf numFmtId="0" fontId="71" fillId="15" borderId="34" xfId="0" applyFont="1" applyFill="1" applyBorder="1" applyAlignment="1">
      <alignment horizontal="centerContinuous"/>
    </xf>
    <xf numFmtId="0" fontId="41" fillId="15" borderId="11" xfId="0" applyFont="1" applyFill="1" applyBorder="1" applyAlignment="1">
      <alignment horizontal="centerContinuous"/>
    </xf>
    <xf numFmtId="0" fontId="41" fillId="15" borderId="25" xfId="0" applyFont="1" applyFill="1" applyBorder="1" applyAlignment="1">
      <alignment horizontal="centerContinuous"/>
    </xf>
    <xf numFmtId="207" fontId="0" fillId="0" borderId="0" xfId="0" applyNumberFormat="1"/>
    <xf numFmtId="206" fontId="62" fillId="11" borderId="38" xfId="0" applyNumberFormat="1" applyFont="1" applyFill="1" applyBorder="1" applyAlignment="1">
      <alignment horizontal="center"/>
    </xf>
    <xf numFmtId="206" fontId="62" fillId="11" borderId="37" xfId="0" applyNumberFormat="1" applyFont="1" applyFill="1" applyBorder="1" applyAlignment="1">
      <alignment horizontal="center"/>
    </xf>
    <xf numFmtId="206" fontId="62" fillId="11" borderId="41" xfId="0" applyNumberFormat="1" applyFont="1" applyFill="1" applyBorder="1"/>
    <xf numFmtId="2" fontId="48" fillId="0" borderId="16" xfId="0" applyNumberFormat="1" applyFont="1" applyBorder="1"/>
    <xf numFmtId="2" fontId="48" fillId="0" borderId="0" xfId="0" applyNumberFormat="1" applyFont="1"/>
    <xf numFmtId="2" fontId="48" fillId="0" borderId="42" xfId="0" applyNumberFormat="1" applyFont="1" applyBorder="1"/>
    <xf numFmtId="206" fontId="62" fillId="11" borderId="0" xfId="0" applyNumberFormat="1" applyFont="1" applyFill="1"/>
    <xf numFmtId="2" fontId="48" fillId="0" borderId="17" xfId="0" applyNumberFormat="1" applyFont="1" applyBorder="1"/>
    <xf numFmtId="206" fontId="62" fillId="11" borderId="37" xfId="0" applyNumberFormat="1" applyFont="1" applyFill="1" applyBorder="1"/>
    <xf numFmtId="2" fontId="48" fillId="0" borderId="24" xfId="0" applyNumberFormat="1" applyFont="1" applyBorder="1"/>
    <xf numFmtId="2" fontId="48" fillId="0" borderId="9" xfId="0" applyNumberFormat="1" applyFont="1" applyBorder="1"/>
    <xf numFmtId="2" fontId="48" fillId="0" borderId="26" xfId="0" applyNumberFormat="1" applyFont="1" applyBorder="1"/>
    <xf numFmtId="0" fontId="45" fillId="9" borderId="11" xfId="0" applyFont="1" applyFill="1" applyBorder="1" applyAlignment="1">
      <alignment horizontal="right"/>
    </xf>
    <xf numFmtId="197" fontId="62" fillId="12" borderId="11" xfId="0" applyNumberFormat="1" applyFont="1" applyFill="1" applyBorder="1" applyAlignment="1">
      <alignment horizontal="right"/>
    </xf>
    <xf numFmtId="189" fontId="20" fillId="0" borderId="11" xfId="0" applyNumberFormat="1" applyFont="1" applyBorder="1" applyAlignment="1">
      <alignment horizontal="right" vertical="center"/>
    </xf>
    <xf numFmtId="189" fontId="20" fillId="0" borderId="0" xfId="0" applyNumberFormat="1" applyFont="1" applyAlignment="1">
      <alignment horizontal="right" vertical="center"/>
    </xf>
    <xf numFmtId="197" fontId="63" fillId="9" borderId="0" xfId="0" applyNumberFormat="1" applyFont="1" applyFill="1" applyAlignment="1">
      <alignment horizontal="right"/>
    </xf>
    <xf numFmtId="189" fontId="20" fillId="0" borderId="15" xfId="0" applyNumberFormat="1" applyFont="1" applyBorder="1" applyAlignment="1">
      <alignment horizontal="right" vertical="center"/>
    </xf>
    <xf numFmtId="0" fontId="45" fillId="9" borderId="0" xfId="0" applyFont="1" applyFill="1" applyAlignment="1">
      <alignment horizontal="right"/>
    </xf>
    <xf numFmtId="0" fontId="53" fillId="9" borderId="0" xfId="0" applyFont="1" applyFill="1" applyAlignment="1">
      <alignment horizontal="right"/>
    </xf>
    <xf numFmtId="189" fontId="20" fillId="5" borderId="15" xfId="0" applyNumberFormat="1" applyFont="1" applyFill="1" applyBorder="1" applyAlignment="1">
      <alignment horizontal="right" vertical="center"/>
    </xf>
    <xf numFmtId="186" fontId="20" fillId="0" borderId="0" xfId="20" applyNumberFormat="1" applyFont="1"/>
    <xf numFmtId="186" fontId="17" fillId="0" borderId="0" xfId="20" applyNumberFormat="1" applyFont="1"/>
    <xf numFmtId="44" fontId="11" fillId="0" borderId="0" xfId="0" applyNumberFormat="1" applyFont="1"/>
    <xf numFmtId="43" fontId="17" fillId="0" borderId="0" xfId="19" applyFont="1"/>
    <xf numFmtId="0" fontId="16" fillId="0" borderId="7" xfId="0" applyFont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171" fontId="23" fillId="4" borderId="29" xfId="0" applyNumberFormat="1" applyFont="1" applyFill="1" applyBorder="1" applyAlignment="1">
      <alignment horizontal="center"/>
    </xf>
    <xf numFmtId="0" fontId="17" fillId="0" borderId="30" xfId="0" applyFont="1" applyBorder="1" applyAlignment="1">
      <alignment vertical="center"/>
    </xf>
    <xf numFmtId="16" fontId="17" fillId="0" borderId="30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85" fontId="17" fillId="0" borderId="30" xfId="0" applyNumberFormat="1" applyFont="1" applyBorder="1" applyAlignment="1">
      <alignment horizontal="center" vertical="center"/>
    </xf>
    <xf numFmtId="172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vertical="center"/>
    </xf>
    <xf numFmtId="0" fontId="17" fillId="0" borderId="31" xfId="0" applyFont="1" applyBorder="1" applyAlignment="1">
      <alignment horizontal="center" vertical="center"/>
    </xf>
    <xf numFmtId="185" fontId="17" fillId="0" borderId="31" xfId="0" applyNumberFormat="1" applyFont="1" applyBorder="1" applyAlignment="1">
      <alignment horizontal="center" vertical="center"/>
    </xf>
    <xf numFmtId="172" fontId="17" fillId="0" borderId="31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vertical="center"/>
    </xf>
    <xf numFmtId="0" fontId="17" fillId="0" borderId="32" xfId="0" applyFont="1" applyBorder="1" applyAlignment="1">
      <alignment horizontal="center" vertical="center"/>
    </xf>
    <xf numFmtId="185" fontId="17" fillId="0" borderId="32" xfId="0" applyNumberFormat="1" applyFont="1" applyBorder="1" applyAlignment="1">
      <alignment horizontal="center" vertical="center"/>
    </xf>
    <xf numFmtId="172" fontId="17" fillId="0" borderId="32" xfId="0" applyNumberFormat="1" applyFont="1" applyBorder="1" applyAlignment="1">
      <alignment horizontal="center" vertical="center"/>
    </xf>
    <xf numFmtId="16" fontId="17" fillId="0" borderId="31" xfId="0" applyNumberFormat="1" applyFont="1" applyBorder="1" applyAlignment="1">
      <alignment horizontal="center" vertical="center"/>
    </xf>
    <xf numFmtId="0" fontId="23" fillId="0" borderId="33" xfId="15" applyFont="1" applyBorder="1" applyAlignment="1">
      <alignment vertical="center"/>
    </xf>
    <xf numFmtId="170" fontId="23" fillId="4" borderId="0" xfId="0" applyNumberFormat="1" applyFont="1" applyFill="1" applyAlignment="1">
      <alignment horizontal="center"/>
    </xf>
    <xf numFmtId="171" fontId="23" fillId="4" borderId="0" xfId="0" applyNumberFormat="1" applyFont="1" applyFill="1" applyAlignment="1">
      <alignment horizontal="center"/>
    </xf>
    <xf numFmtId="0" fontId="11" fillId="0" borderId="34" xfId="0" applyFont="1" applyBorder="1"/>
    <xf numFmtId="0" fontId="11" fillId="0" borderId="35" xfId="0" applyFont="1" applyBorder="1"/>
    <xf numFmtId="2" fontId="13" fillId="3" borderId="36" xfId="0" applyNumberFormat="1" applyFont="1" applyFill="1" applyBorder="1" applyAlignment="1">
      <alignment horizontal="centerContinuous"/>
    </xf>
    <xf numFmtId="2" fontId="13" fillId="3" borderId="11" xfId="0" applyNumberFormat="1" applyFont="1" applyFill="1" applyBorder="1" applyAlignment="1">
      <alignment horizontal="centerContinuous"/>
    </xf>
    <xf numFmtId="2" fontId="13" fillId="3" borderId="35" xfId="0" applyNumberFormat="1" applyFont="1" applyFill="1" applyBorder="1" applyAlignment="1">
      <alignment horizontal="centerContinuous"/>
    </xf>
    <xf numFmtId="0" fontId="13" fillId="3" borderId="11" xfId="0" applyFont="1" applyFill="1" applyBorder="1" applyAlignment="1">
      <alignment horizontal="centerContinuous"/>
    </xf>
    <xf numFmtId="0" fontId="13" fillId="3" borderId="36" xfId="0" applyFont="1" applyFill="1" applyBorder="1" applyAlignment="1">
      <alignment horizontal="centerContinuous"/>
    </xf>
    <xf numFmtId="0" fontId="13" fillId="3" borderId="25" xfId="0" applyFont="1" applyFill="1" applyBorder="1" applyAlignment="1">
      <alignment horizontal="centerContinuous"/>
    </xf>
    <xf numFmtId="171" fontId="23" fillId="4" borderId="17" xfId="0" applyNumberFormat="1" applyFont="1" applyFill="1" applyBorder="1" applyAlignment="1">
      <alignment horizontal="center"/>
    </xf>
    <xf numFmtId="0" fontId="11" fillId="0" borderId="24" xfId="0" applyFont="1" applyBorder="1"/>
    <xf numFmtId="0" fontId="20" fillId="0" borderId="31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2" fontId="19" fillId="0" borderId="31" xfId="0" applyNumberFormat="1" applyFont="1" applyBorder="1" applyAlignment="1">
      <alignment horizontal="center" vertical="center"/>
    </xf>
    <xf numFmtId="187" fontId="15" fillId="0" borderId="11" xfId="0" applyNumberFormat="1" applyFont="1" applyBorder="1" applyAlignment="1">
      <alignment horizontal="center"/>
    </xf>
    <xf numFmtId="187" fontId="15" fillId="0" borderId="0" xfId="0" applyNumberFormat="1" applyFont="1" applyAlignment="1">
      <alignment horizontal="center"/>
    </xf>
    <xf numFmtId="170" fontId="23" fillId="4" borderId="0" xfId="0" applyNumberFormat="1" applyFont="1" applyFill="1" applyAlignment="1">
      <alignment horizontal="centerContinuous"/>
    </xf>
    <xf numFmtId="0" fontId="16" fillId="0" borderId="7" xfId="0" applyFont="1" applyBorder="1" applyAlignment="1">
      <alignment horizontal="left" vertical="center" wrapText="1"/>
    </xf>
    <xf numFmtId="0" fontId="32" fillId="0" borderId="0" xfId="0" applyFont="1" applyAlignment="1">
      <alignment vertical="center"/>
    </xf>
    <xf numFmtId="172" fontId="11" fillId="0" borderId="31" xfId="0" applyNumberFormat="1" applyFont="1" applyBorder="1" applyAlignment="1">
      <alignment horizontal="center" vertical="center"/>
    </xf>
    <xf numFmtId="0" fontId="20" fillId="0" borderId="34" xfId="15" applyFont="1" applyBorder="1" applyAlignment="1">
      <alignment vertical="center"/>
    </xf>
    <xf numFmtId="0" fontId="15" fillId="0" borderId="11" xfId="15" applyFont="1" applyBorder="1" applyAlignment="1">
      <alignment horizontal="center" vertical="center"/>
    </xf>
    <xf numFmtId="0" fontId="20" fillId="0" borderId="16" xfId="15" applyFont="1" applyBorder="1" applyAlignment="1">
      <alignment vertical="center"/>
    </xf>
    <xf numFmtId="0" fontId="15" fillId="0" borderId="0" xfId="15" applyFont="1" applyAlignment="1">
      <alignment horizontal="center" vertical="center"/>
    </xf>
    <xf numFmtId="0" fontId="20" fillId="0" borderId="24" xfId="15" applyFont="1" applyBorder="1" applyAlignment="1">
      <alignment vertical="center"/>
    </xf>
    <xf numFmtId="185" fontId="11" fillId="2" borderId="0" xfId="0" applyNumberFormat="1" applyFont="1" applyFill="1" applyAlignment="1">
      <alignment horizontal="center" vertical="center"/>
    </xf>
    <xf numFmtId="172" fontId="17" fillId="2" borderId="0" xfId="0" applyNumberFormat="1" applyFont="1" applyFill="1" applyAlignment="1">
      <alignment horizontal="center"/>
    </xf>
    <xf numFmtId="16" fontId="17" fillId="0" borderId="32" xfId="0" applyNumberFormat="1" applyFont="1" applyBorder="1" applyAlignment="1">
      <alignment horizontal="center" vertical="center"/>
    </xf>
    <xf numFmtId="179" fontId="11" fillId="0" borderId="0" xfId="19" applyNumberFormat="1" applyFont="1"/>
    <xf numFmtId="200" fontId="44" fillId="9" borderId="0" xfId="0" applyNumberFormat="1" applyFont="1" applyFill="1"/>
    <xf numFmtId="200" fontId="48" fillId="11" borderId="37" xfId="0" applyNumberFormat="1" applyFont="1" applyFill="1" applyBorder="1" applyAlignment="1">
      <alignment horizontal="center" wrapText="1"/>
    </xf>
    <xf numFmtId="0" fontId="45" fillId="9" borderId="0" xfId="0" applyFont="1" applyFill="1"/>
    <xf numFmtId="201" fontId="45" fillId="9" borderId="0" xfId="0" applyNumberFormat="1" applyFont="1" applyFill="1"/>
    <xf numFmtId="194" fontId="62" fillId="12" borderId="0" xfId="0" applyNumberFormat="1" applyFont="1" applyFill="1"/>
    <xf numFmtId="194" fontId="63" fillId="12" borderId="0" xfId="0" applyNumberFormat="1" applyFont="1" applyFill="1"/>
    <xf numFmtId="194" fontId="62" fillId="12" borderId="11" xfId="0" applyNumberFormat="1" applyFont="1" applyFill="1" applyBorder="1"/>
    <xf numFmtId="200" fontId="48" fillId="11" borderId="0" xfId="0" applyNumberFormat="1" applyFont="1" applyFill="1" applyAlignment="1">
      <alignment horizontal="center" wrapText="1"/>
    </xf>
    <xf numFmtId="200" fontId="48" fillId="9" borderId="0" xfId="0" applyNumberFormat="1" applyFont="1" applyFill="1" applyAlignment="1">
      <alignment horizontal="center" wrapText="1"/>
    </xf>
    <xf numFmtId="172" fontId="17" fillId="0" borderId="10" xfId="0" applyNumberFormat="1" applyFont="1" applyBorder="1" applyAlignment="1">
      <alignment horizontal="center" vertical="center"/>
    </xf>
    <xf numFmtId="0" fontId="45" fillId="9" borderId="10" xfId="0" applyFont="1" applyFill="1" applyBorder="1"/>
    <xf numFmtId="201" fontId="45" fillId="9" borderId="10" xfId="0" applyNumberFormat="1" applyFont="1" applyFill="1" applyBorder="1"/>
    <xf numFmtId="197" fontId="62" fillId="12" borderId="0" xfId="0" applyNumberFormat="1" applyFont="1" applyFill="1"/>
    <xf numFmtId="202" fontId="17" fillId="0" borderId="30" xfId="0" applyNumberFormat="1" applyFont="1" applyBorder="1" applyAlignment="1">
      <alignment horizontal="center" vertical="center"/>
    </xf>
    <xf numFmtId="202" fontId="17" fillId="0" borderId="10" xfId="0" applyNumberFormat="1" applyFont="1" applyBorder="1" applyAlignment="1">
      <alignment horizontal="center" vertical="center"/>
    </xf>
    <xf numFmtId="202" fontId="17" fillId="0" borderId="31" xfId="0" applyNumberFormat="1" applyFont="1" applyBorder="1" applyAlignment="1">
      <alignment horizontal="center" vertical="center"/>
    </xf>
    <xf numFmtId="204" fontId="17" fillId="0" borderId="31" xfId="0" applyNumberFormat="1" applyFont="1" applyBorder="1" applyAlignment="1">
      <alignment horizontal="center" vertical="center"/>
    </xf>
    <xf numFmtId="0" fontId="11" fillId="0" borderId="15" xfId="0" applyFont="1" applyBorder="1"/>
    <xf numFmtId="0" fontId="15" fillId="0" borderId="15" xfId="15" applyFont="1" applyBorder="1" applyAlignment="1">
      <alignment horizontal="center" vertical="center"/>
    </xf>
    <xf numFmtId="187" fontId="15" fillId="0" borderId="15" xfId="0" applyNumberFormat="1" applyFont="1" applyBorder="1" applyAlignment="1">
      <alignment horizontal="center"/>
    </xf>
    <xf numFmtId="187" fontId="15" fillId="5" borderId="15" xfId="0" applyNumberFormat="1" applyFont="1" applyFill="1" applyBorder="1" applyAlignment="1">
      <alignment horizontal="center"/>
    </xf>
    <xf numFmtId="185" fontId="11" fillId="0" borderId="15" xfId="2" applyNumberFormat="1" applyFont="1" applyFill="1" applyBorder="1"/>
    <xf numFmtId="9" fontId="39" fillId="0" borderId="0" xfId="3" applyFont="1" applyAlignment="1">
      <alignment horizontal="right" vertical="center"/>
    </xf>
    <xf numFmtId="166" fontId="43" fillId="0" borderId="0" xfId="10" applyNumberFormat="1" applyFont="1" applyAlignment="1" applyProtection="1">
      <alignment horizontal="right"/>
      <protection locked="0"/>
    </xf>
    <xf numFmtId="202" fontId="11" fillId="0" borderId="0" xfId="0" applyNumberFormat="1" applyFont="1" applyAlignment="1">
      <alignment horizontal="right"/>
    </xf>
    <xf numFmtId="2" fontId="13" fillId="3" borderId="28" xfId="0" applyNumberFormat="1" applyFont="1" applyFill="1" applyBorder="1" applyAlignment="1">
      <alignment horizontal="centerContinuous" vertical="center"/>
    </xf>
    <xf numFmtId="2" fontId="13" fillId="3" borderId="0" xfId="0" applyNumberFormat="1" applyFont="1" applyFill="1" applyAlignment="1">
      <alignment horizontal="centerContinuous" vertical="center"/>
    </xf>
    <xf numFmtId="171" fontId="16" fillId="5" borderId="7" xfId="0" applyNumberFormat="1" applyFont="1" applyFill="1" applyBorder="1" applyAlignment="1">
      <alignment horizontal="center" vertical="center" wrapText="1"/>
    </xf>
    <xf numFmtId="190" fontId="17" fillId="0" borderId="31" xfId="0" applyNumberFormat="1" applyFont="1" applyBorder="1" applyAlignment="1">
      <alignment horizontal="center" vertical="center"/>
    </xf>
    <xf numFmtId="191" fontId="17" fillId="0" borderId="30" xfId="0" applyNumberFormat="1" applyFont="1" applyBorder="1" applyAlignment="1">
      <alignment horizontal="center" vertical="center"/>
    </xf>
    <xf numFmtId="16" fontId="17" fillId="0" borderId="30" xfId="0" applyNumberFormat="1" applyFont="1" applyBorder="1" applyAlignment="1">
      <alignment horizontal="left" vertical="center"/>
    </xf>
    <xf numFmtId="0" fontId="34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92" fontId="40" fillId="0" borderId="0" xfId="0" quotePrefix="1" applyNumberFormat="1" applyFont="1" applyAlignment="1">
      <alignment horizontal="center" vertical="center"/>
    </xf>
    <xf numFmtId="0" fontId="16" fillId="4" borderId="13" xfId="4" applyFont="1" applyFill="1" applyBorder="1"/>
    <xf numFmtId="172" fontId="11" fillId="2" borderId="0" xfId="0" applyNumberFormat="1" applyFont="1" applyFill="1" applyAlignment="1">
      <alignment horizontal="center"/>
    </xf>
    <xf numFmtId="191" fontId="17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8" fillId="0" borderId="10" xfId="0" applyFont="1" applyBorder="1"/>
    <xf numFmtId="187" fontId="11" fillId="0" borderId="0" xfId="0" applyNumberFormat="1" applyFont="1"/>
    <xf numFmtId="9" fontId="11" fillId="0" borderId="0" xfId="3" applyFont="1" applyFill="1" applyBorder="1"/>
    <xf numFmtId="9" fontId="11" fillId="0" borderId="17" xfId="3" applyFont="1" applyFill="1" applyBorder="1"/>
    <xf numFmtId="9" fontId="11" fillId="0" borderId="26" xfId="3" applyFont="1" applyFill="1" applyBorder="1"/>
    <xf numFmtId="9" fontId="11" fillId="0" borderId="15" xfId="3" applyFont="1" applyFill="1" applyBorder="1"/>
    <xf numFmtId="0" fontId="15" fillId="0" borderId="0" xfId="4" applyFont="1"/>
    <xf numFmtId="189" fontId="20" fillId="0" borderId="15" xfId="0" applyNumberFormat="1" applyFont="1" applyBorder="1" applyAlignment="1">
      <alignment horizontal="center" vertical="center"/>
    </xf>
    <xf numFmtId="172" fontId="11" fillId="0" borderId="0" xfId="0" applyNumberFormat="1" applyFont="1" applyAlignment="1">
      <alignment horizontal="right"/>
    </xf>
    <xf numFmtId="172" fontId="16" fillId="4" borderId="10" xfId="0" applyNumberFormat="1" applyFont="1" applyFill="1" applyBorder="1" applyAlignment="1">
      <alignment horizontal="right"/>
    </xf>
    <xf numFmtId="172" fontId="16" fillId="4" borderId="14" xfId="0" applyNumberFormat="1" applyFont="1" applyFill="1" applyBorder="1" applyAlignment="1">
      <alignment horizontal="right"/>
    </xf>
    <xf numFmtId="187" fontId="11" fillId="0" borderId="15" xfId="0" applyNumberFormat="1" applyFont="1" applyBorder="1"/>
    <xf numFmtId="172" fontId="64" fillId="0" borderId="24" xfId="10" applyNumberFormat="1" applyFont="1" applyBorder="1" applyAlignment="1">
      <alignment horizontal="right"/>
    </xf>
    <xf numFmtId="172" fontId="20" fillId="2" borderId="11" xfId="4" applyNumberFormat="1" applyFill="1" applyBorder="1"/>
    <xf numFmtId="172" fontId="64" fillId="0" borderId="0" xfId="4" applyNumberFormat="1" applyFont="1"/>
    <xf numFmtId="172" fontId="64" fillId="5" borderId="9" xfId="4" applyNumberFormat="1" applyFont="1" applyFill="1" applyBorder="1"/>
    <xf numFmtId="166" fontId="18" fillId="0" borderId="0" xfId="4" applyNumberFormat="1" applyFont="1" applyAlignment="1">
      <alignment horizontal="right"/>
    </xf>
    <xf numFmtId="166" fontId="18" fillId="2" borderId="0" xfId="4" applyNumberFormat="1" applyFont="1" applyFill="1" applyAlignment="1">
      <alignment horizontal="right"/>
    </xf>
    <xf numFmtId="199" fontId="18" fillId="0" borderId="0" xfId="0" applyNumberFormat="1" applyFont="1"/>
    <xf numFmtId="172" fontId="73" fillId="0" borderId="0" xfId="6" applyNumberFormat="1" applyFont="1" applyAlignment="1">
      <alignment horizontal="right"/>
    </xf>
    <xf numFmtId="172" fontId="73" fillId="5" borderId="0" xfId="6" applyNumberFormat="1" applyFont="1" applyFill="1" applyAlignment="1">
      <alignment horizontal="right"/>
    </xf>
    <xf numFmtId="0" fontId="42" fillId="0" borderId="0" xfId="0" applyFont="1" applyAlignment="1">
      <alignment horizontal="left" indent="1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5" xfId="0" applyFont="1" applyBorder="1" applyAlignment="1">
      <alignment horizontal="center"/>
    </xf>
    <xf numFmtId="0" fontId="72" fillId="8" borderId="40" xfId="0" applyFont="1" applyFill="1" applyBorder="1" applyAlignment="1">
      <alignment horizontal="center" vertical="center" textRotation="90" wrapText="1"/>
    </xf>
    <xf numFmtId="0" fontId="72" fillId="8" borderId="43" xfId="0" applyFont="1" applyFill="1" applyBorder="1" applyAlignment="1">
      <alignment horizontal="center" vertical="center" textRotation="90" wrapText="1"/>
    </xf>
    <xf numFmtId="0" fontId="72" fillId="8" borderId="44" xfId="0" applyFont="1" applyFill="1" applyBorder="1" applyAlignment="1">
      <alignment horizontal="center" vertical="center" textRotation="90" wrapText="1"/>
    </xf>
    <xf numFmtId="200" fontId="61" fillId="8" borderId="0" xfId="0" applyNumberFormat="1" applyFont="1" applyFill="1" applyAlignment="1">
      <alignment horizontal="center"/>
    </xf>
    <xf numFmtId="0" fontId="59" fillId="0" borderId="0" xfId="0" applyFont="1"/>
    <xf numFmtId="210" fontId="20" fillId="0" borderId="31" xfId="0" applyNumberFormat="1" applyFont="1" applyBorder="1" applyAlignment="1">
      <alignment horizontal="right" vertical="center"/>
    </xf>
    <xf numFmtId="199" fontId="74" fillId="0" borderId="0" xfId="0" applyNumberFormat="1" applyFont="1"/>
    <xf numFmtId="0" fontId="46" fillId="14" borderId="0" xfId="0" applyFont="1" applyFill="1" applyBorder="1"/>
    <xf numFmtId="0" fontId="44" fillId="0" borderId="0" xfId="0" applyFont="1" applyBorder="1"/>
    <xf numFmtId="0" fontId="46" fillId="16" borderId="0" xfId="0" applyFont="1" applyFill="1"/>
    <xf numFmtId="180" fontId="54" fillId="10" borderId="0" xfId="3" applyNumberFormat="1" applyFont="1" applyFill="1" applyBorder="1"/>
    <xf numFmtId="9" fontId="54" fillId="10" borderId="0" xfId="3" applyFont="1" applyFill="1" applyBorder="1"/>
    <xf numFmtId="0" fontId="54" fillId="10" borderId="0" xfId="3" applyNumberFormat="1" applyFont="1" applyFill="1" applyBorder="1"/>
  </cellXfs>
  <cellStyles count="24">
    <cellStyle name="Border Thin" xfId="5" xr:uid="{853F4F62-9F44-4987-99F0-985A5542359F}"/>
    <cellStyle name="Border Thin 2" xfId="8" xr:uid="{C28C85F2-E477-46E3-8B6A-C72BFB8AD02A}"/>
    <cellStyle name="Comma" xfId="1" builtinId="3"/>
    <cellStyle name="Comma 2" xfId="19" xr:uid="{69D3AF37-9C31-44A8-AD06-F5F8F5E6C264}"/>
    <cellStyle name="Currency" xfId="2" builtinId="4"/>
    <cellStyle name="Currency 2" xfId="20" xr:uid="{D7D5E073-7579-4C7B-8A0F-89B58B13EF37}"/>
    <cellStyle name="Currency 2 2" xfId="18" xr:uid="{FFF280E7-4F9E-4815-9FE6-FE7CB044EE3A}"/>
    <cellStyle name="Currency 2 2 2" xfId="23" xr:uid="{164E59A8-4E14-46D5-BF77-3E8052994FBB}"/>
    <cellStyle name="Input 2" xfId="11" xr:uid="{5B0F05BC-7E91-40C8-A229-8F7DE0FDA4AE}"/>
    <cellStyle name="Normal" xfId="0" builtinId="0"/>
    <cellStyle name="Normal 10" xfId="4" xr:uid="{6AD2CAC1-4DBC-4021-B02C-F1224BB81FC8}"/>
    <cellStyle name="Normal 10 2" xfId="17" xr:uid="{C2EC56EE-C99F-4CAC-A846-2D9C3D092D0E}"/>
    <cellStyle name="Normal 11" xfId="16" xr:uid="{55895E57-3D74-4C70-AA5C-01E7C1AFC1F1}"/>
    <cellStyle name="Normal 11 2" xfId="22" xr:uid="{C31EE6C7-1459-4FA8-AC06-B847E815AA46}"/>
    <cellStyle name="Normal_Ahold3-backup" xfId="13" xr:uid="{041E7A55-0037-445E-AB6F-7E58AE386250}"/>
    <cellStyle name="Normal_BasicFCFModel" xfId="10" xr:uid="{B4180742-D176-4B08-83B8-04A0459CA8E2}"/>
    <cellStyle name="Normal_Ch03 Pics v1.0" xfId="15" xr:uid="{33C4E510-252B-40EB-9CF6-2E2C6D4412B5}"/>
    <cellStyle name="Normal_Copy of GAPValuationModelFullForecast2008" xfId="14" xr:uid="{13B23212-35EC-4F1F-A42E-952AD0483488}"/>
    <cellStyle name="Normal_Sheet" xfId="9" xr:uid="{F0C0FC9B-77BF-4972-B4D7-F26C71F83AD6}"/>
    <cellStyle name="Normal_Sheet2" xfId="6" xr:uid="{0C9EADD4-FAA3-4F5A-A9FC-754C4455AED3}"/>
    <cellStyle name="Percent" xfId="3" builtinId="5"/>
    <cellStyle name="Percent 2" xfId="12" xr:uid="{B2CCBEBC-A5EB-460A-AE65-88EDA6290D9E}"/>
    <cellStyle name="Percent 2 2" xfId="21" xr:uid="{6B188025-9200-46E9-905F-D96023F718A6}"/>
    <cellStyle name="Table Sub Head" xfId="7" xr:uid="{C54F87B9-9B4C-494A-AF1B-B90229E1DC2A}"/>
  </cellStyles>
  <dxfs count="22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ndense val="0"/>
        <extend val="0"/>
        <color indexed="12"/>
      </font>
      <border>
        <top style="thin">
          <color indexed="64"/>
        </top>
      </border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2"/>
      </font>
      <border>
        <top style="thin">
          <color indexed="64"/>
        </top>
      </border>
    </dxf>
    <dxf>
      <font>
        <condense val="0"/>
        <extend val="0"/>
        <color indexed="12"/>
      </font>
    </dxf>
  </dxfs>
  <tableStyles count="0" defaultTableStyle="TableStyleMedium2" defaultPivotStyle="PivotStyleLight16"/>
  <colors>
    <mruColors>
      <color rgb="FFE20010"/>
      <color rgb="FF050A3F"/>
      <color rgb="FF009B00"/>
      <color rgb="FF0000FF"/>
      <color rgb="FFA4C298"/>
      <color rgb="FFC4D2EE"/>
      <color rgb="FFEFBF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1136063</xdr:colOff>
      <xdr:row>30</xdr:row>
      <xdr:rowOff>183520</xdr:rowOff>
    </xdr:from>
    <xdr:to>
      <xdr:col>3</xdr:col>
      <xdr:colOff>493126</xdr:colOff>
      <xdr:row>33</xdr:row>
      <xdr:rowOff>97064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D96F3-4743-4BB7-8DB7-D0CE1353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2213" y="6117595"/>
          <a:ext cx="2147888" cy="490759"/>
        </a:xfrm>
        <a:prstGeom prst="rect">
          <a:avLst/>
        </a:prstGeom>
      </xdr:spPr>
    </xdr:pic>
    <xdr:clientData/>
  </xdr:twoCellAnchor>
  <xdr:twoCellAnchor editAs="oneCell">
    <xdr:from>
      <xdr:col>2</xdr:col>
      <xdr:colOff>269166</xdr:colOff>
      <xdr:row>36</xdr:row>
      <xdr:rowOff>5948</xdr:rowOff>
    </xdr:from>
    <xdr:to>
      <xdr:col>3</xdr:col>
      <xdr:colOff>58663</xdr:colOff>
      <xdr:row>37</xdr:row>
      <xdr:rowOff>148824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5C8F46-A152-4A7E-BC97-53F496DDA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402" b="43756"/>
        <a:stretch/>
      </xdr:blipFill>
      <xdr:spPr>
        <a:xfrm>
          <a:off x="3755316" y="7121123"/>
          <a:ext cx="2576512" cy="342901"/>
        </a:xfrm>
        <a:prstGeom prst="rect">
          <a:avLst/>
        </a:prstGeom>
      </xdr:spPr>
    </xdr:pic>
    <xdr:clientData/>
  </xdr:twoCellAnchor>
  <xdr:twoCellAnchor editAs="oneCell">
    <xdr:from>
      <xdr:col>3</xdr:col>
      <xdr:colOff>1466815</xdr:colOff>
      <xdr:row>30</xdr:row>
      <xdr:rowOff>64262</xdr:rowOff>
    </xdr:from>
    <xdr:to>
      <xdr:col>3</xdr:col>
      <xdr:colOff>2611282</xdr:colOff>
      <xdr:row>34</xdr:row>
      <xdr:rowOff>12012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D1553F-6572-47AB-836B-06104E5AE4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43790" y="5998337"/>
          <a:ext cx="1140657" cy="726895"/>
        </a:xfrm>
        <a:prstGeom prst="rect">
          <a:avLst/>
        </a:prstGeom>
      </xdr:spPr>
    </xdr:pic>
    <xdr:clientData/>
  </xdr:twoCellAnchor>
  <xdr:twoCellAnchor editAs="oneCell">
    <xdr:from>
      <xdr:col>1</xdr:col>
      <xdr:colOff>235686</xdr:colOff>
      <xdr:row>35</xdr:row>
      <xdr:rowOff>48486</xdr:rowOff>
    </xdr:from>
    <xdr:to>
      <xdr:col>1</xdr:col>
      <xdr:colOff>2343309</xdr:colOff>
      <xdr:row>38</xdr:row>
      <xdr:rowOff>120097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B288CE-BD04-4B10-A140-96AD9B042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011" y="6963636"/>
          <a:ext cx="2111433" cy="660256"/>
        </a:xfrm>
        <a:prstGeom prst="rect">
          <a:avLst/>
        </a:prstGeom>
      </xdr:spPr>
    </xdr:pic>
    <xdr:clientData/>
  </xdr:twoCellAnchor>
  <xdr:twoCellAnchor editAs="oneCell">
    <xdr:from>
      <xdr:col>3</xdr:col>
      <xdr:colOff>739150</xdr:colOff>
      <xdr:row>35</xdr:row>
      <xdr:rowOff>89292</xdr:rowOff>
    </xdr:from>
    <xdr:to>
      <xdr:col>3</xdr:col>
      <xdr:colOff>2581754</xdr:colOff>
      <xdr:row>38</xdr:row>
      <xdr:rowOff>77386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6A8FE0-EA3C-4E53-9AAB-0E86F54C57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88" b="24350"/>
        <a:stretch/>
      </xdr:blipFill>
      <xdr:spPr>
        <a:xfrm>
          <a:off x="7016125" y="7004442"/>
          <a:ext cx="1844509" cy="578644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238124</xdr:colOff>
      <xdr:row>31</xdr:row>
      <xdr:rowOff>69249</xdr:rowOff>
    </xdr:from>
    <xdr:to>
      <xdr:col>2</xdr:col>
      <xdr:colOff>164280</xdr:colOff>
      <xdr:row>33</xdr:row>
      <xdr:rowOff>20835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FA38A6-FAC5-42C1-8B71-E8942EE47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49" y="6193824"/>
          <a:ext cx="2715076" cy="338301"/>
        </a:xfrm>
        <a:prstGeom prst="rect">
          <a:avLst/>
        </a:prstGeom>
      </xdr:spPr>
    </xdr:pic>
    <xdr:clientData/>
  </xdr:twoCellAnchor>
  <xdr:twoCellAnchor editAs="oneCell">
    <xdr:from>
      <xdr:col>1</xdr:col>
      <xdr:colOff>2162136</xdr:colOff>
      <xdr:row>21</xdr:row>
      <xdr:rowOff>56642</xdr:rowOff>
    </xdr:from>
    <xdr:to>
      <xdr:col>3</xdr:col>
      <xdr:colOff>769263</xdr:colOff>
      <xdr:row>24</xdr:row>
      <xdr:rowOff>16836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11BA57-5BC1-4BE1-A71D-77ACC6A7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61" y="4228592"/>
          <a:ext cx="4186872" cy="527884"/>
        </a:xfrm>
        <a:prstGeom prst="rect">
          <a:avLst/>
        </a:prstGeom>
      </xdr:spPr>
    </xdr:pic>
    <xdr:clientData/>
  </xdr:twoCellAnchor>
  <xdr:twoCellAnchor editAs="oneCell">
    <xdr:from>
      <xdr:col>1</xdr:col>
      <xdr:colOff>2692098</xdr:colOff>
      <xdr:row>8</xdr:row>
      <xdr:rowOff>40160</xdr:rowOff>
    </xdr:from>
    <xdr:to>
      <xdr:col>3</xdr:col>
      <xdr:colOff>239301</xdr:colOff>
      <xdr:row>12</xdr:row>
      <xdr:rowOff>168011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073F19-0A2D-4DD0-8A16-A1AC7DB94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7423" y="1678460"/>
          <a:ext cx="3126948" cy="8936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wcr2007@student.ubc.ca" id="{A8AA2E2D-81D3-49E5-AF13-DE5414F22257}" userId="S::mwcr2007@student.ubc.ca::cc629865-cb5a-4ef2-b27a-804bf0d2056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8" dT="2025-12-31T00:54:47.16" personId="{A8AA2E2D-81D3-49E5-AF13-DE5414F22257}" id="{969EB72F-8120-4129-A8F5-D819E8763961}">
    <text>Artificial estimate required. -2% growth rate is an outlier, and will be corrected due to improving macro conditions in FY25E</text>
  </threadedComment>
  <threadedComment ref="G75" dT="2025-12-31T01:05:25.53" personId="{A8AA2E2D-81D3-49E5-AF13-DE5414F22257}" id="{E949228C-9487-4CD2-B901-ED1D363C0B35}">
    <text>Correction required from -2% to 2% in FY25E. We believe -2% in FY24A is mainly due to macro trends and will reverse course in FY25E</text>
  </threadedComment>
  <threadedComment ref="G85" dT="2025-12-31T01:39:09.58" personId="{A8AA2E2D-81D3-49E5-AF13-DE5414F22257}" id="{28B23F62-D60B-42A9-B7B4-E547DE690B3A}">
    <text>We believe male demand will increase this year as a result of Lululemon beginning to target the male audience as a key demographic</text>
  </threadedComment>
  <threadedComment ref="G119" dT="2025-12-31T00:54:47.16" personId="{A8AA2E2D-81D3-49E5-AF13-DE5414F22257}" id="{3D0C4C39-71E7-4D3F-AFCB-77D9AC0B8FAF}">
    <text>Artificial estimate required. -2% growth rate is an outlier, and will be corrected due to improving macro conditions in FY25E</text>
  </threadedComment>
  <threadedComment ref="G166" dT="2025-12-31T01:05:25.53" personId="{A8AA2E2D-81D3-49E5-AF13-DE5414F22257}" id="{D130C271-52FF-4D76-BCEB-AFA2EAAC4974}">
    <text>Correction required from -2% to 2% in FY25E. We believe -2% in FY24A is mainly due to macro trends and will reverse course in FY25E</text>
  </threadedComment>
  <threadedComment ref="G176" dT="2025-12-31T01:39:09.58" personId="{A8AA2E2D-81D3-49E5-AF13-DE5414F22257}" id="{98316FB2-8A92-4141-B4DC-68CDB5247BD1}">
    <text>We believe male demand will increase this year as a result of Lululemon beginning to target the male audience as a key demographic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E245-21A5-4A61-930C-5D1440A0503A}">
  <sheetPr codeName="Sheet1"/>
  <dimension ref="A1:K42"/>
  <sheetViews>
    <sheetView showGridLines="0" zoomScale="80" zoomScaleNormal="80" workbookViewId="0">
      <selection activeCell="C2" sqref="C2"/>
    </sheetView>
  </sheetViews>
  <sheetFormatPr defaultColWidth="0" defaultRowHeight="15" customHeight="1" zeroHeight="1"/>
  <cols>
    <col min="1" max="1" width="9.19921875" style="1" customWidth="1"/>
    <col min="2" max="4" width="36.69921875" style="1" customWidth="1"/>
    <col min="5" max="5" width="9.19921875" style="1" customWidth="1"/>
    <col min="6" max="6" width="9.19921875" style="1" hidden="1" customWidth="1"/>
    <col min="7" max="11" width="9" style="1" hidden="1" customWidth="1"/>
    <col min="12" max="16384" width="9" style="1" hidden="1"/>
  </cols>
  <sheetData>
    <row r="1" spans="2:4"/>
    <row r="2" spans="2:4">
      <c r="B2" s="1" t="s">
        <v>0</v>
      </c>
      <c r="C2" s="2" t="s">
        <v>318</v>
      </c>
    </row>
    <row r="3" spans="2:4">
      <c r="B3" s="1" t="s">
        <v>1</v>
      </c>
      <c r="C3" s="2" t="s">
        <v>224</v>
      </c>
    </row>
    <row r="4" spans="2:4">
      <c r="B4" s="1" t="s">
        <v>2</v>
      </c>
      <c r="C4" s="3">
        <v>212.54</v>
      </c>
    </row>
    <row r="5" spans="2:4">
      <c r="B5" s="1" t="s">
        <v>3</v>
      </c>
      <c r="C5" s="2"/>
    </row>
    <row r="6" spans="2:4" ht="15.6" thickBot="1"/>
    <row r="7" spans="2:4" ht="22.8">
      <c r="B7" s="4" t="str">
        <f>company&amp;" – Financial Model"</f>
        <v>lululemon athletica inc. – Financial Model</v>
      </c>
      <c r="C7" s="5"/>
      <c r="D7" s="6"/>
    </row>
    <row r="8" spans="2:4">
      <c r="B8" s="7"/>
      <c r="D8" s="8"/>
    </row>
    <row r="9" spans="2:4">
      <c r="B9" s="7"/>
      <c r="D9" s="8"/>
    </row>
    <row r="10" spans="2:4">
      <c r="B10" s="7"/>
      <c r="D10" s="8"/>
    </row>
    <row r="11" spans="2:4">
      <c r="B11" s="7"/>
      <c r="D11" s="8"/>
    </row>
    <row r="12" spans="2:4">
      <c r="B12" s="7"/>
      <c r="D12" s="8"/>
    </row>
    <row r="13" spans="2:4">
      <c r="B13" s="7"/>
      <c r="D13" s="8"/>
    </row>
    <row r="14" spans="2:4">
      <c r="B14" s="7"/>
      <c r="D14" s="8"/>
    </row>
    <row r="15" spans="2:4" ht="15.6">
      <c r="B15" s="486" t="s">
        <v>4</v>
      </c>
      <c r="C15" s="487"/>
      <c r="D15" s="488"/>
    </row>
    <row r="16" spans="2:4" ht="15.6">
      <c r="B16" s="9"/>
      <c r="C16" s="10" t="s">
        <v>5</v>
      </c>
      <c r="D16" s="11"/>
    </row>
    <row r="17" spans="2:4">
      <c r="B17" s="489">
        <f ca="1">TODAY()</f>
        <v>46022</v>
      </c>
      <c r="C17" s="490"/>
      <c r="D17" s="491"/>
    </row>
    <row r="18" spans="2:4">
      <c r="B18" s="7"/>
      <c r="D18" s="8"/>
    </row>
    <row r="19" spans="2:4" ht="17.399999999999999">
      <c r="B19" s="492" t="s">
        <v>6</v>
      </c>
      <c r="C19" s="493"/>
      <c r="D19" s="494"/>
    </row>
    <row r="20" spans="2:4">
      <c r="B20" s="7"/>
      <c r="D20" s="8"/>
    </row>
    <row r="21" spans="2:4">
      <c r="B21" s="7"/>
      <c r="D21" s="8"/>
    </row>
    <row r="22" spans="2:4">
      <c r="B22" s="7"/>
      <c r="D22" s="8"/>
    </row>
    <row r="23" spans="2:4">
      <c r="B23" s="7"/>
      <c r="D23" s="8"/>
    </row>
    <row r="24" spans="2:4">
      <c r="B24" s="7"/>
      <c r="D24" s="8"/>
    </row>
    <row r="25" spans="2:4">
      <c r="B25" s="7"/>
      <c r="D25" s="8"/>
    </row>
    <row r="26" spans="2:4">
      <c r="B26" s="7"/>
      <c r="D26" s="8"/>
    </row>
    <row r="27" spans="2:4" ht="15.6">
      <c r="B27" s="495" t="s">
        <v>7</v>
      </c>
      <c r="C27" s="496"/>
      <c r="D27" s="497"/>
    </row>
    <row r="28" spans="2:4">
      <c r="B28" s="7"/>
      <c r="D28" s="8"/>
    </row>
    <row r="29" spans="2:4" ht="17.399999999999999">
      <c r="B29" s="492" t="s">
        <v>8</v>
      </c>
      <c r="C29" s="493"/>
      <c r="D29" s="494"/>
    </row>
    <row r="30" spans="2:4">
      <c r="B30" s="7"/>
      <c r="D30" s="8"/>
    </row>
    <row r="31" spans="2:4">
      <c r="B31" s="7"/>
      <c r="D31" s="8"/>
    </row>
    <row r="32" spans="2:4">
      <c r="B32" s="7"/>
      <c r="D32" s="8"/>
    </row>
    <row r="33" spans="2:11" ht="15.6">
      <c r="B33" s="7"/>
      <c r="D33" s="12"/>
    </row>
    <row r="34" spans="2:11" ht="15.6">
      <c r="B34" s="7"/>
      <c r="D34" s="12"/>
    </row>
    <row r="35" spans="2:11" ht="15.6">
      <c r="B35" s="7"/>
      <c r="D35" s="8"/>
      <c r="E35"/>
    </row>
    <row r="36" spans="2:11" ht="15.6">
      <c r="B36" s="7"/>
      <c r="D36" s="8"/>
      <c r="E36"/>
      <c r="K36"/>
    </row>
    <row r="37" spans="2:11" ht="15.6">
      <c r="B37" s="7"/>
      <c r="D37" s="12"/>
    </row>
    <row r="38" spans="2:11">
      <c r="B38" s="7"/>
      <c r="D38" s="8"/>
    </row>
    <row r="39" spans="2:11">
      <c r="B39" s="7"/>
      <c r="D39" s="8"/>
    </row>
    <row r="40" spans="2:11" ht="15.6" thickBot="1">
      <c r="B40" s="13"/>
      <c r="C40" s="14"/>
      <c r="D40" s="15"/>
    </row>
    <row r="41" spans="2:11"/>
    <row r="42" spans="2:11"/>
  </sheetData>
  <mergeCells count="5">
    <mergeCell ref="B15:D15"/>
    <mergeCell ref="B17:D17"/>
    <mergeCell ref="B19:D19"/>
    <mergeCell ref="B27:D27"/>
    <mergeCell ref="B29:D29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618A-8ED9-4E38-B8D3-0624FE75BED2}">
  <sheetPr codeName="Sheet2"/>
  <dimension ref="A1:S63"/>
  <sheetViews>
    <sheetView showGridLines="0" topLeftCell="A14" zoomScale="80" zoomScaleNormal="80" workbookViewId="0">
      <selection activeCell="G48" sqref="G48"/>
    </sheetView>
  </sheetViews>
  <sheetFormatPr defaultColWidth="0" defaultRowHeight="13.8" zeroHeight="1"/>
  <cols>
    <col min="1" max="1" width="2.5" style="20" customWidth="1"/>
    <col min="2" max="2" width="10.69921875" style="17" customWidth="1"/>
    <col min="3" max="3" width="28" style="17" customWidth="1"/>
    <col min="4" max="4" width="15" style="17" bestFit="1" customWidth="1"/>
    <col min="5" max="15" width="10.796875" style="17" customWidth="1"/>
    <col min="16" max="16384" width="10.796875" style="17" hidden="1"/>
  </cols>
  <sheetData>
    <row r="1" spans="1:19" s="33" customFormat="1" ht="17.399999999999999">
      <c r="B1" s="32" t="s">
        <v>4</v>
      </c>
      <c r="R1" s="34"/>
      <c r="S1" s="34"/>
    </row>
    <row r="2" spans="1:19" s="33" customFormat="1" ht="17.399999999999999">
      <c r="B2" s="32" t="str">
        <f>company</f>
        <v>lululemon athletica inc.</v>
      </c>
      <c r="R2" s="34"/>
      <c r="S2" s="34"/>
    </row>
    <row r="3" spans="1:19" s="33" customFormat="1" ht="17.399999999999999">
      <c r="B3" s="32" t="s">
        <v>45</v>
      </c>
      <c r="R3" s="34"/>
      <c r="S3" s="34"/>
    </row>
    <row r="4" spans="1:19" s="33" customFormat="1" ht="17.399999999999999">
      <c r="B4" s="32" t="s">
        <v>202</v>
      </c>
      <c r="C4" s="35"/>
      <c r="D4" s="35"/>
      <c r="E4" s="35"/>
      <c r="F4" s="35"/>
      <c r="R4" s="34"/>
      <c r="S4" s="34"/>
    </row>
    <row r="5" spans="1:19" ht="17.399999999999999">
      <c r="A5" s="16"/>
    </row>
    <row r="6" spans="1:19" s="19" customFormat="1">
      <c r="A6" s="18"/>
      <c r="B6" s="19" t="s">
        <v>9</v>
      </c>
    </row>
    <row r="7" spans="1:19"/>
    <row r="8" spans="1:19">
      <c r="B8" s="21">
        <v>1</v>
      </c>
      <c r="C8" s="17" t="s">
        <v>10</v>
      </c>
    </row>
    <row r="9" spans="1:19">
      <c r="B9" s="21">
        <f>B8+1</f>
        <v>2</v>
      </c>
      <c r="C9" s="17" t="s">
        <v>11</v>
      </c>
    </row>
    <row r="10" spans="1:19">
      <c r="B10" s="21">
        <f t="shared" ref="B10:B14" si="0">B9+1</f>
        <v>3</v>
      </c>
      <c r="C10" s="17" t="s">
        <v>12</v>
      </c>
    </row>
    <row r="11" spans="1:19">
      <c r="B11" s="21">
        <f t="shared" si="0"/>
        <v>4</v>
      </c>
      <c r="C11" s="17" t="s">
        <v>13</v>
      </c>
    </row>
    <row r="12" spans="1:19">
      <c r="B12" s="21">
        <f t="shared" si="0"/>
        <v>5</v>
      </c>
      <c r="C12" s="17" t="s">
        <v>14</v>
      </c>
    </row>
    <row r="13" spans="1:19">
      <c r="B13" s="21">
        <f t="shared" si="0"/>
        <v>6</v>
      </c>
      <c r="C13" s="17" t="s">
        <v>161</v>
      </c>
    </row>
    <row r="14" spans="1:19">
      <c r="B14" s="21">
        <f t="shared" si="0"/>
        <v>7</v>
      </c>
      <c r="C14" s="17" t="s">
        <v>210</v>
      </c>
    </row>
    <row r="15" spans="1:19"/>
    <row r="16" spans="1:19"/>
    <row r="17" spans="1:3" s="19" customFormat="1">
      <c r="A17" s="18"/>
      <c r="B17" s="19" t="s">
        <v>162</v>
      </c>
    </row>
    <row r="18" spans="1:3"/>
    <row r="19" spans="1:3">
      <c r="B19" s="21">
        <v>1</v>
      </c>
      <c r="C19" s="17" t="s">
        <v>187</v>
      </c>
    </row>
    <row r="20" spans="1:3">
      <c r="B20" s="21">
        <f>B19+1</f>
        <v>2</v>
      </c>
      <c r="C20" s="17" t="s">
        <v>188</v>
      </c>
    </row>
    <row r="21" spans="1:3">
      <c r="B21" s="21">
        <f t="shared" ref="B21:B31" si="1">B20+1</f>
        <v>3</v>
      </c>
      <c r="C21" s="17" t="s">
        <v>189</v>
      </c>
    </row>
    <row r="22" spans="1:3">
      <c r="B22" s="21">
        <f t="shared" si="1"/>
        <v>4</v>
      </c>
      <c r="C22" s="17" t="s">
        <v>190</v>
      </c>
    </row>
    <row r="23" spans="1:3">
      <c r="B23" s="21">
        <f t="shared" si="1"/>
        <v>5</v>
      </c>
      <c r="C23" s="17" t="s">
        <v>191</v>
      </c>
    </row>
    <row r="24" spans="1:3">
      <c r="B24" s="21">
        <f t="shared" si="1"/>
        <v>6</v>
      </c>
      <c r="C24" s="17" t="s">
        <v>192</v>
      </c>
    </row>
    <row r="25" spans="1:3">
      <c r="B25" s="21">
        <f t="shared" si="1"/>
        <v>7</v>
      </c>
      <c r="C25" s="17" t="s">
        <v>193</v>
      </c>
    </row>
    <row r="26" spans="1:3">
      <c r="B26" s="21">
        <f t="shared" si="1"/>
        <v>8</v>
      </c>
      <c r="C26" s="17" t="s">
        <v>194</v>
      </c>
    </row>
    <row r="27" spans="1:3">
      <c r="B27" s="21">
        <f t="shared" si="1"/>
        <v>9</v>
      </c>
      <c r="C27" s="17" t="s">
        <v>195</v>
      </c>
    </row>
    <row r="28" spans="1:3">
      <c r="B28" s="21">
        <f t="shared" si="1"/>
        <v>10</v>
      </c>
      <c r="C28" s="17" t="s">
        <v>196</v>
      </c>
    </row>
    <row r="29" spans="1:3">
      <c r="B29" s="21">
        <f t="shared" si="1"/>
        <v>11</v>
      </c>
      <c r="C29" s="17" t="s">
        <v>197</v>
      </c>
    </row>
    <row r="30" spans="1:3">
      <c r="B30" s="21">
        <f t="shared" si="1"/>
        <v>12</v>
      </c>
      <c r="C30" s="17" t="s">
        <v>198</v>
      </c>
    </row>
    <row r="31" spans="1:3">
      <c r="B31" s="21">
        <f t="shared" si="1"/>
        <v>13</v>
      </c>
      <c r="C31" s="17" t="s">
        <v>199</v>
      </c>
    </row>
    <row r="32" spans="1:3"/>
    <row r="33" spans="1:4"/>
    <row r="34" spans="1:4" s="19" customFormat="1">
      <c r="A34" s="18"/>
      <c r="B34" s="19" t="s">
        <v>201</v>
      </c>
    </row>
    <row r="35" spans="1:4"/>
    <row r="36" spans="1:4">
      <c r="B36" s="21">
        <v>1</v>
      </c>
      <c r="C36" s="17" t="s">
        <v>203</v>
      </c>
    </row>
    <row r="37" spans="1:4">
      <c r="B37" s="21">
        <f>B36+1</f>
        <v>2</v>
      </c>
      <c r="C37" s="17" t="s">
        <v>205</v>
      </c>
    </row>
    <row r="38" spans="1:4">
      <c r="B38" s="21">
        <f t="shared" ref="B38:B41" si="2">B37+1</f>
        <v>3</v>
      </c>
      <c r="C38" s="17" t="s">
        <v>206</v>
      </c>
    </row>
    <row r="39" spans="1:4">
      <c r="B39" s="21">
        <f t="shared" si="2"/>
        <v>4</v>
      </c>
      <c r="C39" s="17" t="s">
        <v>207</v>
      </c>
    </row>
    <row r="40" spans="1:4">
      <c r="B40" s="21">
        <f t="shared" si="2"/>
        <v>5</v>
      </c>
      <c r="C40" s="17" t="s">
        <v>208</v>
      </c>
    </row>
    <row r="41" spans="1:4">
      <c r="B41" s="21">
        <f t="shared" si="2"/>
        <v>6</v>
      </c>
      <c r="C41" s="17" t="s">
        <v>209</v>
      </c>
    </row>
    <row r="42" spans="1:4"/>
    <row r="43" spans="1:4"/>
    <row r="44" spans="1:4" s="19" customFormat="1">
      <c r="A44" s="18"/>
      <c r="B44" s="19" t="s">
        <v>200</v>
      </c>
    </row>
    <row r="45" spans="1:4"/>
    <row r="46" spans="1:4">
      <c r="B46" s="22" t="s">
        <v>15</v>
      </c>
      <c r="C46" s="23"/>
      <c r="D46" s="23"/>
    </row>
    <row r="47" spans="1:4" ht="4.95" customHeight="1">
      <c r="B47" s="24"/>
      <c r="C47" s="25"/>
      <c r="D47" s="25"/>
    </row>
    <row r="48" spans="1:4">
      <c r="B48" s="26" t="s">
        <v>16</v>
      </c>
      <c r="C48" s="26" t="s">
        <v>17</v>
      </c>
      <c r="D48" s="26" t="s">
        <v>18</v>
      </c>
    </row>
    <row r="49" spans="2:4">
      <c r="B49" s="27" t="s">
        <v>19</v>
      </c>
      <c r="C49" s="28" t="s">
        <v>211</v>
      </c>
      <c r="D49" s="28" t="s">
        <v>20</v>
      </c>
    </row>
    <row r="50" spans="2:4">
      <c r="B50" s="28" t="s">
        <v>21</v>
      </c>
      <c r="C50" s="28" t="s">
        <v>22</v>
      </c>
      <c r="D50" s="28" t="s">
        <v>23</v>
      </c>
    </row>
    <row r="51" spans="2:4">
      <c r="B51" s="464" t="s">
        <v>24</v>
      </c>
      <c r="C51" s="28" t="s">
        <v>25</v>
      </c>
      <c r="D51" s="28" t="s">
        <v>26</v>
      </c>
    </row>
    <row r="52" spans="2:4">
      <c r="B52" s="29" t="s">
        <v>27</v>
      </c>
      <c r="C52" s="28" t="s">
        <v>28</v>
      </c>
      <c r="D52" s="28" t="s">
        <v>29</v>
      </c>
    </row>
    <row r="53" spans="2:4">
      <c r="B53" s="30" t="s">
        <v>30</v>
      </c>
      <c r="C53" s="31" t="s">
        <v>31</v>
      </c>
      <c r="D53" s="31" t="s">
        <v>32</v>
      </c>
    </row>
    <row r="54" spans="2:4"/>
    <row r="55" spans="2:4">
      <c r="B55" s="22" t="s">
        <v>33</v>
      </c>
      <c r="C55" s="23"/>
      <c r="D55" s="23"/>
    </row>
    <row r="56" spans="2:4" ht="4.95" customHeight="1">
      <c r="B56" s="24"/>
      <c r="C56" s="25"/>
      <c r="D56" s="25"/>
    </row>
    <row r="57" spans="2:4">
      <c r="B57" s="26" t="s">
        <v>34</v>
      </c>
      <c r="C57" s="26" t="s">
        <v>17</v>
      </c>
      <c r="D57" s="26" t="s">
        <v>35</v>
      </c>
    </row>
    <row r="58" spans="2:4">
      <c r="B58" s="199">
        <v>100000</v>
      </c>
      <c r="C58" s="28" t="s">
        <v>36</v>
      </c>
      <c r="D58" s="28" t="s">
        <v>37</v>
      </c>
    </row>
    <row r="59" spans="2:4">
      <c r="B59" s="200">
        <v>1</v>
      </c>
      <c r="C59" s="28" t="s">
        <v>38</v>
      </c>
      <c r="D59" s="28" t="s">
        <v>39</v>
      </c>
    </row>
    <row r="60" spans="2:4">
      <c r="B60" s="201">
        <v>100</v>
      </c>
      <c r="C60" s="28" t="s">
        <v>40</v>
      </c>
      <c r="D60" s="28" t="s">
        <v>41</v>
      </c>
    </row>
    <row r="61" spans="2:4">
      <c r="B61" s="202">
        <v>1</v>
      </c>
      <c r="C61" s="31" t="s">
        <v>42</v>
      </c>
      <c r="D61" s="31" t="s">
        <v>43</v>
      </c>
    </row>
    <row r="62" spans="2:4">
      <c r="B62" s="17" t="s">
        <v>44</v>
      </c>
    </row>
    <row r="63" spans="2: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D627-9A4F-4226-BCFB-AD7E6EC3EDF0}">
  <sheetPr codeName="Sheet3">
    <tabColor rgb="FF050A3F"/>
  </sheetPr>
  <dimension ref="A1:S194"/>
  <sheetViews>
    <sheetView showGridLines="0" zoomScale="95" zoomScaleNormal="100" workbookViewId="0">
      <pane xSplit="7" ySplit="6" topLeftCell="H67" activePane="bottomRight" state="frozen"/>
      <selection activeCell="S118" sqref="S118"/>
      <selection pane="topRight" activeCell="S118" sqref="S118"/>
      <selection pane="bottomLeft" activeCell="S118" sqref="S118"/>
      <selection pane="bottomRight" activeCell="B77" sqref="B77"/>
    </sheetView>
  </sheetViews>
  <sheetFormatPr defaultColWidth="0" defaultRowHeight="13.8" zeroHeight="1" outlineLevelRow="1"/>
  <cols>
    <col min="1" max="1" width="2.5" style="20" customWidth="1"/>
    <col min="2" max="2" width="58.09765625" style="20" bestFit="1" customWidth="1"/>
    <col min="3" max="17" width="10.69921875" style="20" customWidth="1"/>
    <col min="18" max="19" width="5.19921875" style="20" customWidth="1"/>
    <col min="20" max="16384" width="9" style="20" hidden="1"/>
  </cols>
  <sheetData>
    <row r="1" spans="2:19" s="33" customFormat="1" ht="17.399999999999999">
      <c r="B1" s="32" t="s">
        <v>4</v>
      </c>
      <c r="R1" s="34"/>
      <c r="S1" s="34"/>
    </row>
    <row r="2" spans="2:19" s="33" customFormat="1" ht="17.399999999999999">
      <c r="B2" s="32" t="s">
        <v>225</v>
      </c>
      <c r="R2" s="34"/>
      <c r="S2" s="34"/>
    </row>
    <row r="3" spans="2:19" s="33" customFormat="1" ht="17.399999999999999">
      <c r="B3" s="32" t="s">
        <v>45</v>
      </c>
      <c r="R3" s="34"/>
      <c r="S3" s="34"/>
    </row>
    <row r="4" spans="2:19" s="33" customFormat="1" ht="17.399999999999999">
      <c r="B4" s="32" t="s">
        <v>46</v>
      </c>
      <c r="C4" s="35"/>
      <c r="D4" s="35"/>
      <c r="E4" s="35"/>
      <c r="F4" s="35"/>
      <c r="R4" s="34"/>
      <c r="S4" s="34"/>
    </row>
    <row r="5" spans="2:19" ht="15.75" customHeight="1"/>
    <row r="6" spans="2:19" s="34" customFormat="1">
      <c r="B6" s="32" t="s">
        <v>47</v>
      </c>
      <c r="C6" s="36">
        <v>2020</v>
      </c>
      <c r="D6" s="36">
        <f>C6+1</f>
        <v>2021</v>
      </c>
      <c r="E6" s="36">
        <f t="shared" ref="E6:Q6" si="0">D6+1</f>
        <v>2022</v>
      </c>
      <c r="F6" s="36">
        <f t="shared" si="0"/>
        <v>2023</v>
      </c>
      <c r="G6" s="36">
        <f t="shared" si="0"/>
        <v>2024</v>
      </c>
      <c r="H6" s="37">
        <f t="shared" si="0"/>
        <v>2025</v>
      </c>
      <c r="I6" s="37">
        <f t="shared" si="0"/>
        <v>2026</v>
      </c>
      <c r="J6" s="37">
        <f t="shared" si="0"/>
        <v>2027</v>
      </c>
      <c r="K6" s="37">
        <f t="shared" si="0"/>
        <v>2028</v>
      </c>
      <c r="L6" s="37">
        <f t="shared" si="0"/>
        <v>2029</v>
      </c>
      <c r="M6" s="37">
        <f t="shared" si="0"/>
        <v>2030</v>
      </c>
      <c r="N6" s="37">
        <f t="shared" si="0"/>
        <v>2031</v>
      </c>
      <c r="O6" s="37">
        <f t="shared" si="0"/>
        <v>2032</v>
      </c>
      <c r="P6" s="37">
        <f t="shared" si="0"/>
        <v>2033</v>
      </c>
      <c r="Q6" s="37">
        <f t="shared" si="0"/>
        <v>2034</v>
      </c>
    </row>
    <row r="7" spans="2:19">
      <c r="B7" s="211" t="s">
        <v>229</v>
      </c>
      <c r="C7" s="210">
        <f>EOMONTH(D7,-12)</f>
        <v>44227</v>
      </c>
      <c r="D7" s="209">
        <v>44591</v>
      </c>
      <c r="E7" s="209">
        <v>44955</v>
      </c>
      <c r="F7" s="209">
        <v>45319</v>
      </c>
      <c r="G7" s="209">
        <v>45690</v>
      </c>
      <c r="H7" s="209">
        <f>EOMONTH(G7,11)</f>
        <v>46053</v>
      </c>
      <c r="I7" s="209">
        <f>EOMONTH(H7,12)</f>
        <v>46418</v>
      </c>
      <c r="J7" s="209">
        <f t="shared" ref="J7:Q7" si="1">EOMONTH(I7,12)</f>
        <v>46783</v>
      </c>
      <c r="K7" s="209">
        <f t="shared" si="1"/>
        <v>47149</v>
      </c>
      <c r="L7" s="209">
        <f t="shared" si="1"/>
        <v>47514</v>
      </c>
      <c r="M7" s="209">
        <f t="shared" si="1"/>
        <v>47879</v>
      </c>
      <c r="N7" s="209">
        <f t="shared" si="1"/>
        <v>48244</v>
      </c>
      <c r="O7" s="209">
        <f t="shared" si="1"/>
        <v>48610</v>
      </c>
      <c r="P7" s="209">
        <f t="shared" si="1"/>
        <v>48975</v>
      </c>
      <c r="Q7" s="209">
        <f t="shared" si="1"/>
        <v>49340</v>
      </c>
      <c r="R7" s="209"/>
      <c r="S7" s="209"/>
    </row>
    <row r="8" spans="2:19" s="34" customFormat="1">
      <c r="B8" s="32" t="s">
        <v>48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2:19">
      <c r="B9" s="39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2:19">
      <c r="B10" s="40" t="s">
        <v>49</v>
      </c>
      <c r="C10" s="41">
        <v>4401.8789999999999</v>
      </c>
      <c r="D10" s="41">
        <v>6256.6170000000002</v>
      </c>
      <c r="E10" s="41">
        <v>8110.518</v>
      </c>
      <c r="F10" s="41">
        <v>9619.2780000000002</v>
      </c>
      <c r="G10" s="41">
        <v>10588.126</v>
      </c>
      <c r="H10" s="286">
        <f>'Revenue Build Schedule'!G20</f>
        <v>11953.361099330763</v>
      </c>
      <c r="I10" s="286">
        <f>'Revenue Build Schedule'!H20</f>
        <v>13466.420999940561</v>
      </c>
      <c r="J10" s="286">
        <f>'Revenue Build Schedule'!I20</f>
        <v>14882.823050409077</v>
      </c>
      <c r="K10" s="286">
        <f>'Revenue Build Schedule'!J20</f>
        <v>16156.499345877075</v>
      </c>
      <c r="L10" s="286">
        <f>'Revenue Build Schedule'!K20</f>
        <v>17251.591538248354</v>
      </c>
      <c r="M10" s="286">
        <f>'Revenue Build Schedule'!L20</f>
        <v>18144.883931117383</v>
      </c>
      <c r="N10" s="286">
        <f>'Revenue Build Schedule'!M20</f>
        <v>18826.773910289445</v>
      </c>
      <c r="O10" s="286">
        <f>'Revenue Build Schedule'!N20</f>
        <v>19300.837515351024</v>
      </c>
      <c r="P10" s="286">
        <f>'Revenue Build Schedule'!O20</f>
        <v>19582.249301255753</v>
      </c>
      <c r="Q10" s="286">
        <f>'Revenue Build Schedule'!P20</f>
        <v>19695.440358432028</v>
      </c>
      <c r="R10" s="43"/>
      <c r="S10" s="43"/>
    </row>
    <row r="11" spans="2:19">
      <c r="B11" s="44" t="s">
        <v>50</v>
      </c>
      <c r="C11" s="45" t="str">
        <f>IFERROR(C10/B10-1," ")</f>
        <v xml:space="preserve"> </v>
      </c>
      <c r="D11" s="45">
        <f t="shared" ref="D11:Q11" si="2">IFERROR(D10/C10-1," ")</f>
        <v>0.42135142742451581</v>
      </c>
      <c r="E11" s="45">
        <f t="shared" si="2"/>
        <v>0.29631045020016411</v>
      </c>
      <c r="F11" s="45">
        <f t="shared" si="2"/>
        <v>0.18602510961691965</v>
      </c>
      <c r="G11" s="45">
        <f t="shared" si="2"/>
        <v>0.1007194095024595</v>
      </c>
      <c r="H11" s="46">
        <f t="shared" si="2"/>
        <v>0.12894020144176244</v>
      </c>
      <c r="I11" s="46">
        <f t="shared" si="2"/>
        <v>0.12658028884398975</v>
      </c>
      <c r="J11" s="46">
        <f t="shared" si="2"/>
        <v>0.10518028884398967</v>
      </c>
      <c r="K11" s="46">
        <f t="shared" si="2"/>
        <v>8.5580288843989827E-2</v>
      </c>
      <c r="L11" s="46">
        <f t="shared" si="2"/>
        <v>6.7780288843989789E-2</v>
      </c>
      <c r="M11" s="46">
        <f t="shared" si="2"/>
        <v>5.1780288843989775E-2</v>
      </c>
      <c r="N11" s="46">
        <f t="shared" si="2"/>
        <v>3.7580288843989784E-2</v>
      </c>
      <c r="O11" s="46">
        <f t="shared" si="2"/>
        <v>2.5180288843989818E-2</v>
      </c>
      <c r="P11" s="46">
        <f t="shared" si="2"/>
        <v>1.4580288843989653E-2</v>
      </c>
      <c r="Q11" s="46">
        <f t="shared" si="2"/>
        <v>5.7802888439897337E-3</v>
      </c>
      <c r="R11" s="43"/>
      <c r="S11" s="43"/>
    </row>
    <row r="12" spans="2:19">
      <c r="B12" s="40" t="s">
        <v>51</v>
      </c>
      <c r="C12" s="41">
        <v>-1937.8879999999999</v>
      </c>
      <c r="D12" s="41">
        <v>-2648.0520000000001</v>
      </c>
      <c r="E12" s="41">
        <v>-3618.1779999999999</v>
      </c>
      <c r="F12" s="41">
        <v>-4009.873</v>
      </c>
      <c r="G12" s="41">
        <v>-4317.3149999999996</v>
      </c>
      <c r="H12" s="286">
        <f>'Supporting Schedules'!I11</f>
        <v>-4876.9713285269518</v>
      </c>
      <c r="I12" s="286">
        <f>'Supporting Schedules'!J11</f>
        <v>-5413.501241976106</v>
      </c>
      <c r="J12" s="286">
        <f>'Supporting Schedules'!K11</f>
        <v>-5923.3635740628124</v>
      </c>
      <c r="K12" s="286">
        <f>'Supporting Schedules'!L11</f>
        <v>-6397.9737409673216</v>
      </c>
      <c r="L12" s="286">
        <f>'Supporting Schedules'!M11</f>
        <v>-6797.1270660698519</v>
      </c>
      <c r="M12" s="286">
        <f>'Supporting Schedules'!N11</f>
        <v>-7112.794500998014</v>
      </c>
      <c r="N12" s="286">
        <f>'Supporting Schedules'!O11</f>
        <v>-7380.0953728334625</v>
      </c>
      <c r="O12" s="286">
        <f>'Supporting Schedules'!P11</f>
        <v>-7565.9283060176022</v>
      </c>
      <c r="P12" s="286">
        <f>'Supporting Schedules'!Q11</f>
        <v>-7676.2417260922557</v>
      </c>
      <c r="Q12" s="286">
        <f>'Supporting Schedules'!R11</f>
        <v>-7720.6126205053552</v>
      </c>
      <c r="R12" s="43"/>
      <c r="S12" s="43"/>
    </row>
    <row r="13" spans="2:19">
      <c r="B13" s="44" t="s">
        <v>221</v>
      </c>
      <c r="C13" s="45">
        <f>IFERROR(-C12/C10," ")</f>
        <v>0.44024108795357619</v>
      </c>
      <c r="D13" s="45">
        <f t="shared" ref="D13:Q13" si="3">IFERROR(-D12/D10," ")</f>
        <v>0.42324022710675752</v>
      </c>
      <c r="E13" s="45">
        <f t="shared" si="3"/>
        <v>0.44610936070914337</v>
      </c>
      <c r="F13" s="45">
        <f t="shared" si="3"/>
        <v>0.41685800119302091</v>
      </c>
      <c r="G13" s="45">
        <f t="shared" si="3"/>
        <v>0.40775062555923491</v>
      </c>
      <c r="H13" s="46">
        <f t="shared" si="3"/>
        <v>0.40800000000000003</v>
      </c>
      <c r="I13" s="46">
        <f t="shared" si="3"/>
        <v>0.40200000000000002</v>
      </c>
      <c r="J13" s="46">
        <f t="shared" si="3"/>
        <v>0.39799999999999996</v>
      </c>
      <c r="K13" s="46">
        <f t="shared" si="3"/>
        <v>0.39600000000000002</v>
      </c>
      <c r="L13" s="46">
        <f t="shared" si="3"/>
        <v>0.39400000000000002</v>
      </c>
      <c r="M13" s="46">
        <f t="shared" si="3"/>
        <v>0.39199999999999996</v>
      </c>
      <c r="N13" s="46">
        <f t="shared" si="3"/>
        <v>0.39200000000000002</v>
      </c>
      <c r="O13" s="46">
        <f t="shared" si="3"/>
        <v>0.39200000000000002</v>
      </c>
      <c r="P13" s="46">
        <f t="shared" si="3"/>
        <v>0.39200000000000002</v>
      </c>
      <c r="Q13" s="46">
        <f t="shared" si="3"/>
        <v>0.39200000000000002</v>
      </c>
      <c r="R13" s="43"/>
      <c r="S13" s="43"/>
    </row>
    <row r="14" spans="2:19">
      <c r="B14" s="47" t="s">
        <v>52</v>
      </c>
      <c r="C14" s="48">
        <f>SUM(C10,C12)</f>
        <v>2463.991</v>
      </c>
      <c r="D14" s="48">
        <f>SUM(D10,D12)</f>
        <v>3608.5650000000001</v>
      </c>
      <c r="E14" s="48">
        <f>SUM(E10,E12)</f>
        <v>4492.34</v>
      </c>
      <c r="F14" s="48">
        <f t="shared" ref="F14:Q14" si="4">SUM(F10,F12)</f>
        <v>5609.4050000000007</v>
      </c>
      <c r="G14" s="48">
        <f t="shared" si="4"/>
        <v>6270.8110000000006</v>
      </c>
      <c r="H14" s="49">
        <f t="shared" si="4"/>
        <v>7076.3897708038112</v>
      </c>
      <c r="I14" s="49">
        <f t="shared" si="4"/>
        <v>8052.9197579644551</v>
      </c>
      <c r="J14" s="49">
        <f t="shared" si="4"/>
        <v>8959.4594763462646</v>
      </c>
      <c r="K14" s="49">
        <f t="shared" si="4"/>
        <v>9758.5256049097534</v>
      </c>
      <c r="L14" s="49">
        <f t="shared" si="4"/>
        <v>10454.464472178503</v>
      </c>
      <c r="M14" s="49">
        <f t="shared" si="4"/>
        <v>11032.089430119369</v>
      </c>
      <c r="N14" s="49">
        <f t="shared" si="4"/>
        <v>11446.678537455982</v>
      </c>
      <c r="O14" s="49">
        <f t="shared" si="4"/>
        <v>11734.909209333422</v>
      </c>
      <c r="P14" s="49">
        <f t="shared" si="4"/>
        <v>11906.007575163498</v>
      </c>
      <c r="Q14" s="49">
        <f t="shared" si="4"/>
        <v>11974.827737926673</v>
      </c>
      <c r="R14" s="43"/>
      <c r="S14" s="43"/>
    </row>
    <row r="15" spans="2:19">
      <c r="B15" s="44" t="s">
        <v>53</v>
      </c>
      <c r="C15" s="50">
        <f>IFERROR(C14/C10," ")</f>
        <v>0.55975891204642381</v>
      </c>
      <c r="D15" s="50">
        <f>IFERROR(D14/D10," ")</f>
        <v>0.57675977289324243</v>
      </c>
      <c r="E15" s="50">
        <f>IFERROR(E14/E10," ")</f>
        <v>0.55389063929085669</v>
      </c>
      <c r="F15" s="50">
        <f t="shared" ref="F15:Q15" si="5">IFERROR(F14/F10," ")</f>
        <v>0.58314199880697914</v>
      </c>
      <c r="G15" s="50">
        <f t="shared" si="5"/>
        <v>0.59224937444076509</v>
      </c>
      <c r="H15" s="51">
        <f t="shared" si="5"/>
        <v>0.59199999999999997</v>
      </c>
      <c r="I15" s="51">
        <f t="shared" si="5"/>
        <v>0.59799999999999998</v>
      </c>
      <c r="J15" s="51">
        <f t="shared" si="5"/>
        <v>0.60199999999999998</v>
      </c>
      <c r="K15" s="51">
        <f t="shared" si="5"/>
        <v>0.60399999999999998</v>
      </c>
      <c r="L15" s="51">
        <f t="shared" si="5"/>
        <v>0.60599999999999998</v>
      </c>
      <c r="M15" s="51">
        <f t="shared" si="5"/>
        <v>0.60799999999999998</v>
      </c>
      <c r="N15" s="51">
        <f t="shared" si="5"/>
        <v>0.60799999999999998</v>
      </c>
      <c r="O15" s="51">
        <f t="shared" si="5"/>
        <v>0.60799999999999998</v>
      </c>
      <c r="P15" s="51">
        <f t="shared" si="5"/>
        <v>0.60799999999999998</v>
      </c>
      <c r="Q15" s="51">
        <f t="shared" si="5"/>
        <v>0.60799999999999998</v>
      </c>
      <c r="R15" s="43"/>
      <c r="S15" s="43"/>
    </row>
    <row r="16" spans="2:19">
      <c r="B16" s="44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43"/>
      <c r="S16" s="43"/>
    </row>
    <row r="17" spans="2:19">
      <c r="B17" s="52" t="s">
        <v>54</v>
      </c>
      <c r="C17" s="53"/>
      <c r="D17" s="53"/>
      <c r="E17" s="53"/>
      <c r="F17" s="53"/>
      <c r="G17" s="54"/>
      <c r="H17" s="54"/>
      <c r="I17" s="54"/>
      <c r="J17" s="53"/>
      <c r="K17" s="53"/>
      <c r="L17" s="53"/>
      <c r="M17" s="53"/>
      <c r="N17" s="53"/>
      <c r="O17" s="53"/>
      <c r="P17" s="53"/>
      <c r="Q17" s="53"/>
      <c r="R17" s="43"/>
      <c r="S17" s="43"/>
    </row>
    <row r="18" spans="2:19">
      <c r="B18" s="55" t="s">
        <v>55</v>
      </c>
      <c r="C18" s="41">
        <v>-1609.0029999999999</v>
      </c>
      <c r="D18" s="41">
        <v>-2225.0340000000001</v>
      </c>
      <c r="E18" s="41">
        <v>-2757.4470000000001</v>
      </c>
      <c r="F18" s="41">
        <v>-3397.2179999999998</v>
      </c>
      <c r="G18" s="41">
        <v>-3762.3789999999999</v>
      </c>
      <c r="H18" s="286">
        <f>'Supporting Schedules'!I18</f>
        <v>-5047.0533839175814</v>
      </c>
      <c r="I18" s="286">
        <f>'Supporting Schedules'!J18</f>
        <v>-5766.3631879745599</v>
      </c>
      <c r="J18" s="286">
        <f>'Supporting Schedules'!K18</f>
        <v>-6432.1145577767211</v>
      </c>
      <c r="K18" s="286">
        <f>'Supporting Schedules'!L18</f>
        <v>-7014.6557161106502</v>
      </c>
      <c r="L18" s="286">
        <f>'Supporting Schedules'!M18</f>
        <v>-7524.4289106762817</v>
      </c>
      <c r="M18" s="286">
        <f>'Supporting Schedules'!N18</f>
        <v>-7950.194161829414</v>
      </c>
      <c r="N18" s="286">
        <f>'Supporting Schedules'!O18</f>
        <v>-8248.861972706778</v>
      </c>
      <c r="O18" s="286">
        <f>'Supporting Schedules'!P18</f>
        <v>-8456.5018317237482</v>
      </c>
      <c r="P18" s="286">
        <f>'Supporting Schedules'!Q18</f>
        <v>-8579.76019395002</v>
      </c>
      <c r="Q18" s="286">
        <f>'Supporting Schedules'!R18</f>
        <v>-8629.3378769932278</v>
      </c>
      <c r="R18" s="43"/>
      <c r="S18" s="43"/>
    </row>
    <row r="19" spans="2:19">
      <c r="B19" s="55" t="s">
        <v>226</v>
      </c>
      <c r="C19" s="41">
        <v>0</v>
      </c>
      <c r="D19" s="41">
        <v>0</v>
      </c>
      <c r="E19" s="41">
        <v>-407.91300000000001</v>
      </c>
      <c r="F19" s="41">
        <v>-74.501000000000005</v>
      </c>
      <c r="G19" s="41">
        <v>0</v>
      </c>
      <c r="H19" s="42">
        <f>G19</f>
        <v>0</v>
      </c>
      <c r="I19" s="42">
        <f t="shared" ref="I19:Q19" si="6">H19</f>
        <v>0</v>
      </c>
      <c r="J19" s="42">
        <f t="shared" si="6"/>
        <v>0</v>
      </c>
      <c r="K19" s="42">
        <f t="shared" si="6"/>
        <v>0</v>
      </c>
      <c r="L19" s="42">
        <f t="shared" si="6"/>
        <v>0</v>
      </c>
      <c r="M19" s="42">
        <f t="shared" si="6"/>
        <v>0</v>
      </c>
      <c r="N19" s="42">
        <f t="shared" si="6"/>
        <v>0</v>
      </c>
      <c r="O19" s="42">
        <f t="shared" si="6"/>
        <v>0</v>
      </c>
      <c r="P19" s="42">
        <f t="shared" si="6"/>
        <v>0</v>
      </c>
      <c r="Q19" s="42">
        <f t="shared" si="6"/>
        <v>0</v>
      </c>
      <c r="R19" s="43"/>
      <c r="S19" s="43"/>
    </row>
    <row r="20" spans="2:19">
      <c r="B20" s="55" t="s">
        <v>227</v>
      </c>
      <c r="C20" s="41">
        <v>-5.16</v>
      </c>
      <c r="D20" s="41">
        <v>-8.782</v>
      </c>
      <c r="E20" s="41">
        <v>-8.7520000000000007</v>
      </c>
      <c r="F20" s="41">
        <v>-5.01</v>
      </c>
      <c r="G20" s="41">
        <v>-2.7349999999999999</v>
      </c>
      <c r="H20" s="42">
        <f>G20*(1+H11)</f>
        <v>-3.0876514509432202</v>
      </c>
      <c r="I20" s="42">
        <f t="shared" ref="I20:Q20" si="7">H20*(1+I11)</f>
        <v>-3.4784872634531769</v>
      </c>
      <c r="J20" s="42">
        <f t="shared" si="7"/>
        <v>-3.8443555585633211</v>
      </c>
      <c r="K20" s="42">
        <f t="shared" si="7"/>
        <v>-4.1733566176841679</v>
      </c>
      <c r="L20" s="42">
        <f t="shared" si="7"/>
        <v>-4.4562279346797773</v>
      </c>
      <c r="M20" s="42">
        <f t="shared" si="7"/>
        <v>-4.6869727042921525</v>
      </c>
      <c r="N20" s="42">
        <f t="shared" si="7"/>
        <v>-4.8631104923233472</v>
      </c>
      <c r="O20" s="42">
        <f t="shared" si="7"/>
        <v>-4.9855650192002869</v>
      </c>
      <c r="P20" s="42">
        <f t="shared" si="7"/>
        <v>-5.0582559972307175</v>
      </c>
      <c r="Q20" s="42">
        <f t="shared" si="7"/>
        <v>-5.0874941779415543</v>
      </c>
      <c r="R20" s="43"/>
      <c r="S20" s="43"/>
    </row>
    <row r="21" spans="2:19">
      <c r="B21" s="55" t="s">
        <v>230</v>
      </c>
      <c r="C21" s="41">
        <v>-29.841999999999999</v>
      </c>
      <c r="D21" s="41">
        <v>-41.393999999999998</v>
      </c>
      <c r="E21" s="41">
        <v>0</v>
      </c>
      <c r="F21" s="41">
        <v>0</v>
      </c>
      <c r="G21" s="41">
        <v>0</v>
      </c>
      <c r="H21" s="42">
        <f>G21</f>
        <v>0</v>
      </c>
      <c r="I21" s="42">
        <f t="shared" ref="I21:Q21" si="8">H21</f>
        <v>0</v>
      </c>
      <c r="J21" s="42">
        <f t="shared" si="8"/>
        <v>0</v>
      </c>
      <c r="K21" s="42">
        <f t="shared" si="8"/>
        <v>0</v>
      </c>
      <c r="L21" s="42">
        <f t="shared" si="8"/>
        <v>0</v>
      </c>
      <c r="M21" s="42">
        <f t="shared" si="8"/>
        <v>0</v>
      </c>
      <c r="N21" s="42">
        <f t="shared" si="8"/>
        <v>0</v>
      </c>
      <c r="O21" s="42">
        <f t="shared" si="8"/>
        <v>0</v>
      </c>
      <c r="P21" s="42">
        <f t="shared" si="8"/>
        <v>0</v>
      </c>
      <c r="Q21" s="42">
        <f t="shared" si="8"/>
        <v>0</v>
      </c>
      <c r="R21" s="43"/>
      <c r="S21" s="43"/>
    </row>
    <row r="22" spans="2:19">
      <c r="B22" s="55" t="s">
        <v>228</v>
      </c>
      <c r="C22" s="41">
        <v>0</v>
      </c>
      <c r="D22" s="41">
        <v>0</v>
      </c>
      <c r="E22" s="41">
        <v>10.18</v>
      </c>
      <c r="F22" s="41">
        <v>0</v>
      </c>
      <c r="G22" s="41">
        <v>0</v>
      </c>
      <c r="H22" s="42">
        <f>G22</f>
        <v>0</v>
      </c>
      <c r="I22" s="42">
        <f t="shared" ref="I22:Q22" si="9">H22</f>
        <v>0</v>
      </c>
      <c r="J22" s="42">
        <f t="shared" si="9"/>
        <v>0</v>
      </c>
      <c r="K22" s="42">
        <f t="shared" si="9"/>
        <v>0</v>
      </c>
      <c r="L22" s="42">
        <f t="shared" si="9"/>
        <v>0</v>
      </c>
      <c r="M22" s="42">
        <f t="shared" si="9"/>
        <v>0</v>
      </c>
      <c r="N22" s="42">
        <f t="shared" si="9"/>
        <v>0</v>
      </c>
      <c r="O22" s="42">
        <f t="shared" si="9"/>
        <v>0</v>
      </c>
      <c r="P22" s="42">
        <f t="shared" si="9"/>
        <v>0</v>
      </c>
      <c r="Q22" s="42">
        <f t="shared" si="9"/>
        <v>0</v>
      </c>
      <c r="R22" s="43"/>
      <c r="S22" s="43"/>
    </row>
    <row r="23" spans="2:19">
      <c r="B23" s="47" t="s">
        <v>56</v>
      </c>
      <c r="C23" s="48">
        <f>SUM(C18:C22)</f>
        <v>-1644.0050000000001</v>
      </c>
      <c r="D23" s="48">
        <f t="shared" ref="D23:G23" si="10">SUM(D18:D22)</f>
        <v>-2275.21</v>
      </c>
      <c r="E23" s="48">
        <f t="shared" si="10"/>
        <v>-3163.9320000000002</v>
      </c>
      <c r="F23" s="48">
        <f t="shared" si="10"/>
        <v>-3476.7290000000003</v>
      </c>
      <c r="G23" s="48">
        <f t="shared" si="10"/>
        <v>-3765.114</v>
      </c>
      <c r="H23" s="49">
        <f>SUM(H18:H22)</f>
        <v>-5050.1410353685251</v>
      </c>
      <c r="I23" s="49">
        <f t="shared" ref="I23:Q23" si="11">SUM(I18:I22)</f>
        <v>-5769.8416752380126</v>
      </c>
      <c r="J23" s="49">
        <f t="shared" si="11"/>
        <v>-6435.9589133352847</v>
      </c>
      <c r="K23" s="49">
        <f t="shared" si="11"/>
        <v>-7018.8290727283347</v>
      </c>
      <c r="L23" s="49">
        <f t="shared" si="11"/>
        <v>-7528.8851386109618</v>
      </c>
      <c r="M23" s="49">
        <f t="shared" si="11"/>
        <v>-7954.8811345337062</v>
      </c>
      <c r="N23" s="49">
        <f t="shared" si="11"/>
        <v>-8253.7250831991005</v>
      </c>
      <c r="O23" s="49">
        <f t="shared" si="11"/>
        <v>-8461.4873967429485</v>
      </c>
      <c r="P23" s="49">
        <f t="shared" si="11"/>
        <v>-8584.81844994725</v>
      </c>
      <c r="Q23" s="49">
        <f t="shared" si="11"/>
        <v>-8634.4253711711699</v>
      </c>
      <c r="R23" s="43"/>
      <c r="S23" s="43"/>
    </row>
    <row r="24" spans="2:19">
      <c r="B24" s="52"/>
      <c r="C24" s="56"/>
      <c r="D24" s="56"/>
      <c r="E24" s="56"/>
      <c r="F24" s="56"/>
      <c r="G24" s="56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43"/>
      <c r="S24" s="43"/>
    </row>
    <row r="25" spans="2:19">
      <c r="B25" s="52" t="s">
        <v>59</v>
      </c>
      <c r="C25" s="56">
        <f>SUM(C23,C14)</f>
        <v>819.98599999999988</v>
      </c>
      <c r="D25" s="56">
        <f t="shared" ref="D25:Q25" si="12">SUM(D23,D14)</f>
        <v>1333.355</v>
      </c>
      <c r="E25" s="56">
        <f t="shared" si="12"/>
        <v>1328.4079999999999</v>
      </c>
      <c r="F25" s="56">
        <f t="shared" si="12"/>
        <v>2132.6760000000004</v>
      </c>
      <c r="G25" s="56">
        <f t="shared" si="12"/>
        <v>2505.6970000000006</v>
      </c>
      <c r="H25" s="212">
        <f t="shared" si="12"/>
        <v>2026.2487354352861</v>
      </c>
      <c r="I25" s="212">
        <f t="shared" si="12"/>
        <v>2283.0780827264425</v>
      </c>
      <c r="J25" s="212">
        <f t="shared" si="12"/>
        <v>2523.5005630109799</v>
      </c>
      <c r="K25" s="212">
        <f t="shared" si="12"/>
        <v>2739.6965321814187</v>
      </c>
      <c r="L25" s="212">
        <f t="shared" si="12"/>
        <v>2925.5793335675407</v>
      </c>
      <c r="M25" s="212">
        <f t="shared" si="12"/>
        <v>3077.2082955856631</v>
      </c>
      <c r="N25" s="212">
        <f t="shared" si="12"/>
        <v>3192.9534542568817</v>
      </c>
      <c r="O25" s="212">
        <f t="shared" si="12"/>
        <v>3273.4218125904736</v>
      </c>
      <c r="P25" s="212">
        <f t="shared" si="12"/>
        <v>3321.1891252162477</v>
      </c>
      <c r="Q25" s="212">
        <f t="shared" si="12"/>
        <v>3340.402366755503</v>
      </c>
      <c r="R25" s="43"/>
      <c r="S25" s="43"/>
    </row>
    <row r="26" spans="2:19">
      <c r="B26" s="52"/>
      <c r="C26" s="56"/>
      <c r="D26" s="56"/>
      <c r="E26" s="56"/>
      <c r="F26" s="56"/>
      <c r="G26" s="56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43"/>
      <c r="S26" s="43"/>
    </row>
    <row r="27" spans="2:19">
      <c r="B27" s="40" t="s">
        <v>247</v>
      </c>
      <c r="C27" s="41">
        <v>-0.63600000000000001</v>
      </c>
      <c r="D27" s="41">
        <v>0.51400000000000001</v>
      </c>
      <c r="E27" s="41">
        <v>4.1630000000000003</v>
      </c>
      <c r="F27" s="41">
        <v>43.058999999999997</v>
      </c>
      <c r="G27" s="41">
        <v>70.38</v>
      </c>
      <c r="H27" s="295">
        <f>G27*(1+H11)</f>
        <v>79.454811377471231</v>
      </c>
      <c r="I27" s="295">
        <f t="shared" ref="I27:Q27" si="13">H27*(1+I11)</f>
        <v>89.512224351676267</v>
      </c>
      <c r="J27" s="295">
        <f t="shared" si="13"/>
        <v>98.92714596405358</v>
      </c>
      <c r="K27" s="295">
        <f t="shared" si="13"/>
        <v>107.39335969016882</v>
      </c>
      <c r="L27" s="295">
        <f t="shared" si="13"/>
        <v>114.67251262989495</v>
      </c>
      <c r="M27" s="295">
        <f t="shared" si="13"/>
        <v>120.61028845633697</v>
      </c>
      <c r="N27" s="295">
        <f t="shared" si="13"/>
        <v>125.14285793408304</v>
      </c>
      <c r="O27" s="295">
        <f t="shared" si="13"/>
        <v>128.29399124362564</v>
      </c>
      <c r="P27" s="295">
        <f t="shared" si="13"/>
        <v>130.16455469290599</v>
      </c>
      <c r="Q27" s="295">
        <f t="shared" si="13"/>
        <v>130.9169434162803</v>
      </c>
      <c r="R27" s="43"/>
      <c r="S27" s="43"/>
    </row>
    <row r="28" spans="2:19">
      <c r="B28" s="52"/>
      <c r="C28" s="56"/>
      <c r="D28" s="56"/>
      <c r="E28" s="56"/>
      <c r="F28" s="56"/>
      <c r="G28" s="56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43"/>
      <c r="S28" s="43"/>
    </row>
    <row r="29" spans="2:19">
      <c r="B29" s="52" t="s">
        <v>60</v>
      </c>
      <c r="C29" s="56">
        <f>SUM(C25,C27)</f>
        <v>819.34999999999991</v>
      </c>
      <c r="D29" s="56">
        <f t="shared" ref="D29:Q29" si="14">SUM(D25,D27)</f>
        <v>1333.8689999999999</v>
      </c>
      <c r="E29" s="56">
        <f t="shared" si="14"/>
        <v>1332.5709999999999</v>
      </c>
      <c r="F29" s="56">
        <f t="shared" si="14"/>
        <v>2175.7350000000006</v>
      </c>
      <c r="G29" s="56">
        <f t="shared" si="14"/>
        <v>2576.0770000000007</v>
      </c>
      <c r="H29" s="212">
        <f t="shared" si="14"/>
        <v>2105.7035468127574</v>
      </c>
      <c r="I29" s="212">
        <f t="shared" si="14"/>
        <v>2372.5903070781187</v>
      </c>
      <c r="J29" s="212">
        <f t="shared" si="14"/>
        <v>2622.4277089750335</v>
      </c>
      <c r="K29" s="212">
        <f t="shared" si="14"/>
        <v>2847.0898918715875</v>
      </c>
      <c r="L29" s="212">
        <f t="shared" si="14"/>
        <v>3040.2518461974355</v>
      </c>
      <c r="M29" s="212">
        <f t="shared" si="14"/>
        <v>3197.8185840420001</v>
      </c>
      <c r="N29" s="212">
        <f t="shared" si="14"/>
        <v>3318.0963121909649</v>
      </c>
      <c r="O29" s="212">
        <f t="shared" si="14"/>
        <v>3401.715803834099</v>
      </c>
      <c r="P29" s="212">
        <f t="shared" si="14"/>
        <v>3451.3536799091535</v>
      </c>
      <c r="Q29" s="212">
        <f t="shared" si="14"/>
        <v>3471.3193101717834</v>
      </c>
      <c r="R29" s="43"/>
      <c r="S29" s="43"/>
    </row>
    <row r="30" spans="2:19">
      <c r="B30" s="40"/>
      <c r="C30" s="60"/>
      <c r="D30" s="60"/>
      <c r="E30" s="60"/>
      <c r="F30" s="60"/>
      <c r="G30" s="60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43"/>
      <c r="S30" s="43"/>
    </row>
    <row r="31" spans="2:19">
      <c r="B31" s="40" t="s">
        <v>61</v>
      </c>
      <c r="C31" s="41">
        <v>-230.43700000000001</v>
      </c>
      <c r="D31" s="41">
        <v>-358.54700000000003</v>
      </c>
      <c r="E31" s="41">
        <v>-477.77100000000002</v>
      </c>
      <c r="F31" s="41">
        <v>-625.54499999999996</v>
      </c>
      <c r="G31" s="41">
        <v>-761.46100000000001</v>
      </c>
      <c r="H31" s="297">
        <f>'Supporting Schedules'!I26</f>
        <v>-638.02817468426542</v>
      </c>
      <c r="I31" s="297">
        <f>'Supporting Schedules'!J26</f>
        <v>-718.89486304466993</v>
      </c>
      <c r="J31" s="297">
        <f>'Supporting Schedules'!K26</f>
        <v>-794.59559581943518</v>
      </c>
      <c r="K31" s="297">
        <f>'Supporting Schedules'!L26</f>
        <v>-862.66823723709103</v>
      </c>
      <c r="L31" s="297">
        <f>'Supporting Schedules'!M26</f>
        <v>-921.19630939782292</v>
      </c>
      <c r="M31" s="297">
        <f>'Supporting Schedules'!N26</f>
        <v>-968.93903096472604</v>
      </c>
      <c r="N31" s="297">
        <f>'Supporting Schedules'!O26</f>
        <v>-1005.3831825938623</v>
      </c>
      <c r="O31" s="297">
        <f>'Supporting Schedules'!P26</f>
        <v>-1030.719888561732</v>
      </c>
      <c r="P31" s="297">
        <f>'Supporting Schedules'!Q26</f>
        <v>-1045.7601650124734</v>
      </c>
      <c r="Q31" s="297">
        <f>'Supporting Schedules'!R26</f>
        <v>-1051.8097509820504</v>
      </c>
      <c r="R31" s="43"/>
      <c r="S31" s="43"/>
    </row>
    <row r="32" spans="2:19">
      <c r="B32" s="44" t="s">
        <v>231</v>
      </c>
      <c r="C32" s="50">
        <f>-C31/C10</f>
        <v>5.2349689757487661E-2</v>
      </c>
      <c r="D32" s="50">
        <f t="shared" ref="D32:H32" si="15">-D31/D10</f>
        <v>5.7306848093786146E-2</v>
      </c>
      <c r="E32" s="50">
        <f t="shared" si="15"/>
        <v>5.890758148862995E-2</v>
      </c>
      <c r="F32" s="50">
        <f t="shared" si="15"/>
        <v>6.5030348431555876E-2</v>
      </c>
      <c r="G32" s="50">
        <f t="shared" si="15"/>
        <v>7.1916503449241165E-2</v>
      </c>
      <c r="H32" s="298">
        <f t="shared" si="15"/>
        <v>5.3376466199116741E-2</v>
      </c>
      <c r="I32" s="298">
        <f t="shared" ref="I32" si="16">-I31/I10</f>
        <v>5.3384255775743461E-2</v>
      </c>
      <c r="J32" s="298">
        <f t="shared" ref="J32" si="17">-J31/J10</f>
        <v>5.3390112422091483E-2</v>
      </c>
      <c r="K32" s="298">
        <f t="shared" ref="K32" si="18">-K31/K10</f>
        <v>5.3394502037177535E-2</v>
      </c>
      <c r="L32" s="298">
        <f t="shared" ref="L32" si="19">-L31/L10</f>
        <v>5.3397757960791416E-2</v>
      </c>
      <c r="M32" s="298">
        <f t="shared" ref="M32" si="20">-M31/M10</f>
        <v>5.3400122846917412E-2</v>
      </c>
      <c r="N32" s="298">
        <f t="shared" ref="N32" si="21">-N31/N10</f>
        <v>5.3401777032250207E-2</v>
      </c>
      <c r="O32" s="298">
        <f t="shared" ref="O32" si="22">-O31/O10</f>
        <v>5.3402858178664185E-2</v>
      </c>
      <c r="P32" s="298">
        <f t="shared" ref="P32" si="23">-P31/P10</f>
        <v>5.3403475204731043E-2</v>
      </c>
      <c r="Q32" s="298">
        <f t="shared" ref="Q32" si="24">-Q31/Q10</f>
        <v>5.340371841606216E-2</v>
      </c>
      <c r="R32" s="43"/>
      <c r="S32" s="43"/>
    </row>
    <row r="33" spans="2:19">
      <c r="B33" s="44" t="s">
        <v>111</v>
      </c>
      <c r="C33" s="50">
        <f t="shared" ref="C33:Q33" si="25">-C31/C29</f>
        <v>0.28124366876182344</v>
      </c>
      <c r="D33" s="50">
        <f t="shared" si="25"/>
        <v>0.2688022586925703</v>
      </c>
      <c r="E33" s="50">
        <f t="shared" si="25"/>
        <v>0.35853324138075948</v>
      </c>
      <c r="F33" s="50">
        <f t="shared" si="25"/>
        <v>0.28750973808850794</v>
      </c>
      <c r="G33" s="50">
        <f t="shared" si="25"/>
        <v>0.2955893787336325</v>
      </c>
      <c r="H33" s="51">
        <f t="shared" si="25"/>
        <v>0.30299999999999999</v>
      </c>
      <c r="I33" s="51">
        <f t="shared" si="25"/>
        <v>0.30299999999999999</v>
      </c>
      <c r="J33" s="51">
        <f t="shared" si="25"/>
        <v>0.30299999999999999</v>
      </c>
      <c r="K33" s="51">
        <f t="shared" si="25"/>
        <v>0.30299999999999999</v>
      </c>
      <c r="L33" s="51">
        <f t="shared" si="25"/>
        <v>0.30299999999999999</v>
      </c>
      <c r="M33" s="51">
        <f t="shared" si="25"/>
        <v>0.30299999999999999</v>
      </c>
      <c r="N33" s="51">
        <f t="shared" si="25"/>
        <v>0.30299999999999999</v>
      </c>
      <c r="O33" s="51">
        <f t="shared" si="25"/>
        <v>0.30299999999999999</v>
      </c>
      <c r="P33" s="51">
        <f t="shared" si="25"/>
        <v>0.30299999999999999</v>
      </c>
      <c r="Q33" s="51">
        <f t="shared" si="25"/>
        <v>0.30300000000000005</v>
      </c>
      <c r="R33" s="43"/>
      <c r="S33" s="43"/>
    </row>
    <row r="34" spans="2:19">
      <c r="B34" s="40"/>
      <c r="C34" s="60"/>
      <c r="D34" s="60"/>
      <c r="E34" s="60"/>
      <c r="F34" s="60"/>
      <c r="G34" s="60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43"/>
      <c r="S34" s="43"/>
    </row>
    <row r="35" spans="2:19">
      <c r="B35" s="52" t="s">
        <v>62</v>
      </c>
      <c r="C35" s="56">
        <f>SUM(C29,C31)</f>
        <v>588.9129999999999</v>
      </c>
      <c r="D35" s="56">
        <f t="shared" ref="D35:Q35" si="26">SUM(D29,D31)</f>
        <v>975.32199999999989</v>
      </c>
      <c r="E35" s="56">
        <f t="shared" si="26"/>
        <v>854.8</v>
      </c>
      <c r="F35" s="56">
        <f t="shared" si="26"/>
        <v>1550.1900000000005</v>
      </c>
      <c r="G35" s="56">
        <f t="shared" si="26"/>
        <v>1814.6160000000007</v>
      </c>
      <c r="H35" s="212">
        <f t="shared" si="26"/>
        <v>1467.675372128492</v>
      </c>
      <c r="I35" s="212">
        <f t="shared" si="26"/>
        <v>1653.6954440334489</v>
      </c>
      <c r="J35" s="212">
        <f t="shared" si="26"/>
        <v>1827.8321131555983</v>
      </c>
      <c r="K35" s="212">
        <f t="shared" si="26"/>
        <v>1984.4216546344965</v>
      </c>
      <c r="L35" s="212">
        <f t="shared" si="26"/>
        <v>2119.0555367996126</v>
      </c>
      <c r="M35" s="212">
        <f t="shared" si="26"/>
        <v>2228.8795530772741</v>
      </c>
      <c r="N35" s="212">
        <f t="shared" si="26"/>
        <v>2312.7131295971026</v>
      </c>
      <c r="O35" s="212">
        <f t="shared" si="26"/>
        <v>2370.9959152723668</v>
      </c>
      <c r="P35" s="212">
        <f t="shared" si="26"/>
        <v>2405.5935148966801</v>
      </c>
      <c r="Q35" s="212">
        <f t="shared" si="26"/>
        <v>2419.509559189733</v>
      </c>
      <c r="R35" s="43"/>
      <c r="S35" s="43"/>
    </row>
    <row r="36" spans="2:19">
      <c r="B36" s="61" t="s">
        <v>63</v>
      </c>
      <c r="C36" s="50">
        <f>IFERROR(C35/C10," ")</f>
        <v>0.13378673062117336</v>
      </c>
      <c r="D36" s="50">
        <f t="shared" ref="D36:G36" si="27">IFERROR(D35/D10," ")</f>
        <v>0.15588647986603621</v>
      </c>
      <c r="E36" s="50">
        <f t="shared" si="27"/>
        <v>0.10539400812623805</v>
      </c>
      <c r="F36" s="50">
        <f t="shared" si="27"/>
        <v>0.16115450660642103</v>
      </c>
      <c r="G36" s="50">
        <f t="shared" si="27"/>
        <v>0.17138216904483386</v>
      </c>
      <c r="H36" s="51">
        <f t="shared" ref="H36" si="28">IFERROR(H35/H10," ")</f>
        <v>0.12278348825341379</v>
      </c>
      <c r="I36" s="51">
        <f t="shared" ref="I36" si="29">IFERROR(I35/I10," ")</f>
        <v>0.1228014068504726</v>
      </c>
      <c r="J36" s="51">
        <f t="shared" ref="J36" si="30">IFERROR(J35/J10," ")</f>
        <v>0.12281487906995962</v>
      </c>
      <c r="K36" s="51">
        <f t="shared" ref="K36" si="31">IFERROR(K35/K10," ")</f>
        <v>0.12282497663337538</v>
      </c>
      <c r="L36" s="51">
        <f t="shared" ref="L36" si="32">IFERROR(L35/L10," ")</f>
        <v>0.12283246633224958</v>
      </c>
      <c r="M36" s="51">
        <f t="shared" ref="M36" si="33">IFERROR(M35/M10," ")</f>
        <v>0.12283790635082982</v>
      </c>
      <c r="N36" s="51">
        <f t="shared" ref="N36" si="34">IFERROR(N35/N10," ")</f>
        <v>0.12284171152303101</v>
      </c>
      <c r="O36" s="51">
        <f t="shared" ref="O36" si="35">IFERROR(O35/O10," ")</f>
        <v>0.12284419851659714</v>
      </c>
      <c r="P36" s="51">
        <f t="shared" ref="P36" si="36">IFERROR(P35/P10," ")</f>
        <v>0.12284561788018991</v>
      </c>
      <c r="Q36" s="51">
        <f t="shared" ref="Q36" si="37">IFERROR(Q35/Q10," ")</f>
        <v>0.12284617734651922</v>
      </c>
      <c r="R36" s="43"/>
      <c r="S36" s="43"/>
    </row>
    <row r="37" spans="2:19">
      <c r="B37" s="52"/>
      <c r="C37" s="56"/>
      <c r="D37" s="56"/>
      <c r="E37" s="56"/>
      <c r="F37" s="56"/>
      <c r="G37" s="56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43"/>
      <c r="S37" s="43"/>
    </row>
    <row r="38" spans="2:19">
      <c r="B38" s="40" t="s">
        <v>58</v>
      </c>
      <c r="C38" s="41">
        <v>185.47800000000001</v>
      </c>
      <c r="D38" s="41">
        <v>224.20599999999999</v>
      </c>
      <c r="E38" s="41">
        <v>291.791</v>
      </c>
      <c r="F38" s="41">
        <v>379.38400000000001</v>
      </c>
      <c r="G38" s="41">
        <v>446.524</v>
      </c>
      <c r="H38" s="295">
        <f>-'Supporting Schedules'!I77</f>
        <v>523.50139799999999</v>
      </c>
      <c r="I38" s="295">
        <f>-'Supporting Schedules'!J77</f>
        <v>601.53500575941405</v>
      </c>
      <c r="J38" s="295">
        <f>-'Supporting Schedules'!K77</f>
        <v>685.98614714899304</v>
      </c>
      <c r="K38" s="295">
        <f>-'Supporting Schedules'!L77</f>
        <v>773.09251835732675</v>
      </c>
      <c r="L38" s="295">
        <f>-'Supporting Schedules'!M77</f>
        <v>859.30403126767146</v>
      </c>
      <c r="M38" s="295">
        <f>-'Supporting Schedules'!N77</f>
        <v>941.41852828314711</v>
      </c>
      <c r="N38" s="295">
        <f>-'Supporting Schedules'!O77</f>
        <v>1016.7248087673036</v>
      </c>
      <c r="O38" s="295">
        <f>-'Supporting Schedules'!P77</f>
        <v>1083.1224359449727</v>
      </c>
      <c r="P38" s="295">
        <f>-'Supporting Schedules'!Q77</f>
        <v>1139.1978909250222</v>
      </c>
      <c r="Q38" s="295">
        <f>-'Supporting Schedules'!R77</f>
        <v>1184.2476764346325</v>
      </c>
      <c r="R38" s="43"/>
      <c r="S38" s="43"/>
    </row>
    <row r="39" spans="2:19">
      <c r="B39" s="52" t="s">
        <v>57</v>
      </c>
      <c r="C39" s="56">
        <f>C35+C38</f>
        <v>774.39099999999985</v>
      </c>
      <c r="D39" s="56">
        <f t="shared" ref="D39:H39" si="38">D35+D38</f>
        <v>1199.5279999999998</v>
      </c>
      <c r="E39" s="56">
        <f t="shared" si="38"/>
        <v>1146.5909999999999</v>
      </c>
      <c r="F39" s="56">
        <f t="shared" si="38"/>
        <v>1929.5740000000005</v>
      </c>
      <c r="G39" s="56">
        <f t="shared" si="38"/>
        <v>2261.1400000000008</v>
      </c>
      <c r="H39" s="212">
        <f t="shared" si="38"/>
        <v>1991.1767701284921</v>
      </c>
      <c r="I39" s="212">
        <f t="shared" ref="I39" si="39">I35+I38</f>
        <v>2255.2304497928631</v>
      </c>
      <c r="J39" s="212">
        <f t="shared" ref="J39" si="40">J35+J38</f>
        <v>2513.8182603045916</v>
      </c>
      <c r="K39" s="212">
        <f t="shared" ref="K39" si="41">K35+K38</f>
        <v>2757.5141729918232</v>
      </c>
      <c r="L39" s="212">
        <f t="shared" ref="L39" si="42">L35+L38</f>
        <v>2978.3595680672843</v>
      </c>
      <c r="M39" s="212">
        <f t="shared" ref="M39" si="43">M35+M38</f>
        <v>3170.2980813604213</v>
      </c>
      <c r="N39" s="212">
        <f t="shared" ref="N39" si="44">N35+N38</f>
        <v>3329.4379383644064</v>
      </c>
      <c r="O39" s="212">
        <f t="shared" ref="O39" si="45">O35+O38</f>
        <v>3454.1183512173393</v>
      </c>
      <c r="P39" s="212">
        <f t="shared" ref="P39" si="46">P35+P38</f>
        <v>3544.791405821702</v>
      </c>
      <c r="Q39" s="212">
        <f t="shared" ref="Q39" si="47">Q35+Q38</f>
        <v>3603.7572356243654</v>
      </c>
      <c r="R39" s="43"/>
      <c r="S39" s="43"/>
    </row>
    <row r="40" spans="2:19">
      <c r="B40" s="57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spans="2:19" s="34" customFormat="1">
      <c r="B41" s="32" t="s">
        <v>64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2:19">
      <c r="B42" s="63"/>
      <c r="C42" s="64"/>
      <c r="D42" s="64"/>
      <c r="E42" s="64"/>
      <c r="F42" s="64"/>
      <c r="G42" s="64"/>
      <c r="H42" s="65"/>
      <c r="I42" s="66"/>
      <c r="J42" s="67"/>
      <c r="K42" s="65"/>
      <c r="L42" s="65"/>
      <c r="M42" s="65"/>
      <c r="N42" s="65"/>
      <c r="O42" s="65"/>
      <c r="P42" s="65"/>
      <c r="Q42" s="65"/>
    </row>
    <row r="43" spans="2:19">
      <c r="B43" s="68" t="s">
        <v>65</v>
      </c>
      <c r="C43" s="69"/>
      <c r="D43" s="69"/>
      <c r="E43" s="69"/>
      <c r="F43" s="69"/>
      <c r="G43" s="70"/>
      <c r="H43" s="70"/>
      <c r="I43" s="60"/>
      <c r="J43" s="40"/>
      <c r="K43" s="40"/>
      <c r="L43" s="40"/>
      <c r="M43" s="40"/>
      <c r="N43" s="40"/>
      <c r="O43" s="40"/>
      <c r="P43" s="40"/>
      <c r="Q43" s="40"/>
    </row>
    <row r="44" spans="2:19">
      <c r="B44" s="68"/>
      <c r="C44" s="69"/>
      <c r="D44" s="69"/>
      <c r="E44" s="69"/>
      <c r="F44" s="69"/>
      <c r="G44" s="70"/>
      <c r="H44" s="70"/>
      <c r="I44" s="60"/>
      <c r="J44" s="40"/>
      <c r="K44" s="40"/>
      <c r="L44" s="40"/>
      <c r="M44" s="40"/>
      <c r="N44" s="40"/>
      <c r="O44" s="40"/>
      <c r="P44" s="40"/>
      <c r="Q44" s="40"/>
    </row>
    <row r="45" spans="2:19">
      <c r="B45" s="71" t="s">
        <v>66</v>
      </c>
      <c r="C45" s="60"/>
      <c r="D45" s="60"/>
      <c r="E45" s="60"/>
      <c r="F45" s="60"/>
      <c r="G45" s="60"/>
      <c r="H45" s="60"/>
      <c r="I45" s="60"/>
      <c r="J45" s="72"/>
      <c r="K45" s="73"/>
      <c r="L45" s="73"/>
      <c r="M45" s="73"/>
      <c r="N45" s="73"/>
      <c r="O45" s="73"/>
      <c r="P45" s="73"/>
      <c r="Q45" s="73"/>
    </row>
    <row r="46" spans="2:19">
      <c r="B46" s="74" t="s">
        <v>67</v>
      </c>
      <c r="C46" s="41">
        <v>1150.5170000000001</v>
      </c>
      <c r="D46" s="41">
        <v>1259.8710000000001</v>
      </c>
      <c r="E46" s="41">
        <v>1154.867</v>
      </c>
      <c r="F46" s="41">
        <v>2243.971</v>
      </c>
      <c r="G46" s="41">
        <v>1984.336</v>
      </c>
      <c r="H46" s="299">
        <f>H154</f>
        <v>2488.3780497314679</v>
      </c>
      <c r="I46" s="299">
        <f t="shared" ref="I46:Q46" si="48">I154</f>
        <v>2620.005978360964</v>
      </c>
      <c r="J46" s="299">
        <f t="shared" si="48"/>
        <v>2800.5400149781663</v>
      </c>
      <c r="K46" s="299">
        <f t="shared" si="48"/>
        <v>3034.9752785636197</v>
      </c>
      <c r="L46" s="299">
        <f t="shared" si="48"/>
        <v>3337.4444394902011</v>
      </c>
      <c r="M46" s="299">
        <f t="shared" si="48"/>
        <v>3709.5864705318932</v>
      </c>
      <c r="N46" s="299">
        <f t="shared" si="48"/>
        <v>4137.0182681620763</v>
      </c>
      <c r="O46" s="299">
        <f t="shared" si="48"/>
        <v>4627.7717343908298</v>
      </c>
      <c r="P46" s="299">
        <f t="shared" si="48"/>
        <v>5117.0020101003602</v>
      </c>
      <c r="Q46" s="299">
        <f t="shared" si="48"/>
        <v>5654.9594625386044</v>
      </c>
    </row>
    <row r="47" spans="2:19">
      <c r="B47" s="74" t="s">
        <v>68</v>
      </c>
      <c r="C47" s="41">
        <v>62.399000000000001</v>
      </c>
      <c r="D47" s="41">
        <v>77.001000000000005</v>
      </c>
      <c r="E47" s="41">
        <v>132.90600000000001</v>
      </c>
      <c r="F47" s="41">
        <v>124.76900000000001</v>
      </c>
      <c r="G47" s="41">
        <v>120.173</v>
      </c>
      <c r="H47" s="286">
        <f>'Supporting Schedules'!I34</f>
        <v>145.77269633330198</v>
      </c>
      <c r="I47" s="286">
        <f>'Supporting Schedules'!J34</f>
        <v>164.22464634073856</v>
      </c>
      <c r="J47" s="286">
        <f>'Supporting Schedules'!K34</f>
        <v>181.49784207815947</v>
      </c>
      <c r="K47" s="286">
        <f>'Supporting Schedules'!L34</f>
        <v>197.0304798277692</v>
      </c>
      <c r="L47" s="286">
        <f>'Supporting Schedules'!M34</f>
        <v>210.38526266156529</v>
      </c>
      <c r="M47" s="286">
        <f>'Supporting Schedules'!N34</f>
        <v>221.27907233069979</v>
      </c>
      <c r="N47" s="286">
        <f>'Supporting Schedules'!O34</f>
        <v>229.59480378401761</v>
      </c>
      <c r="O47" s="286">
        <f>'Supporting Schedules'!P34</f>
        <v>235.37606726037833</v>
      </c>
      <c r="P47" s="286">
        <f>'Supporting Schedules'!Q34</f>
        <v>238.807918307997</v>
      </c>
      <c r="Q47" s="286">
        <f>'Supporting Schedules'!R34</f>
        <v>240.18829705404912</v>
      </c>
    </row>
    <row r="48" spans="2:19">
      <c r="B48" s="74" t="s">
        <v>232</v>
      </c>
      <c r="C48" s="41">
        <v>647.23</v>
      </c>
      <c r="D48" s="41">
        <v>966.48099999999999</v>
      </c>
      <c r="E48" s="41">
        <v>1447.367</v>
      </c>
      <c r="F48" s="41">
        <v>1323.6020000000001</v>
      </c>
      <c r="G48" s="41">
        <v>1442.0809999999999</v>
      </c>
      <c r="H48" s="286">
        <f>'Supporting Schedules'!I50</f>
        <v>1561.1453615720291</v>
      </c>
      <c r="I48" s="286">
        <f>'Supporting Schedules'!J50</f>
        <v>1758.7555923672712</v>
      </c>
      <c r="J48" s="286">
        <f>'Supporting Schedules'!K50</f>
        <v>1943.742013578443</v>
      </c>
      <c r="K48" s="286">
        <f>'Supporting Schedules'!L50</f>
        <v>2110.0880165386843</v>
      </c>
      <c r="L48" s="286">
        <f>'Supporting Schedules'!M50</f>
        <v>2253.1103917859177</v>
      </c>
      <c r="M48" s="286">
        <f>'Supporting Schedules'!N50</f>
        <v>2369.7770986699875</v>
      </c>
      <c r="N48" s="286">
        <f>'Supporting Schedules'!O50</f>
        <v>2458.834006533878</v>
      </c>
      <c r="O48" s="286">
        <f>'Supporting Schedules'!P50</f>
        <v>2520.7481570378254</v>
      </c>
      <c r="P48" s="286">
        <f>'Supporting Schedules'!Q50</f>
        <v>2557.5013932703914</v>
      </c>
      <c r="Q48" s="286">
        <f>'Supporting Schedules'!R50</f>
        <v>2572.2844900424006</v>
      </c>
    </row>
    <row r="49" spans="2:17">
      <c r="B49" s="74" t="s">
        <v>233</v>
      </c>
      <c r="C49" s="41">
        <v>139.126</v>
      </c>
      <c r="D49" s="41">
        <v>118.928</v>
      </c>
      <c r="E49" s="41">
        <v>185.64099999999999</v>
      </c>
      <c r="F49" s="41">
        <v>183.733</v>
      </c>
      <c r="G49" s="41">
        <v>182.25299999999999</v>
      </c>
      <c r="H49" s="42">
        <f>H$10*H94</f>
        <v>215.16049978795371</v>
      </c>
      <c r="I49" s="42">
        <f t="shared" ref="I49:Q49" si="49">I10*I94</f>
        <v>242.39557799893009</v>
      </c>
      <c r="J49" s="42">
        <f t="shared" si="49"/>
        <v>267.89081490736339</v>
      </c>
      <c r="K49" s="42">
        <f t="shared" si="49"/>
        <v>290.81698822578733</v>
      </c>
      <c r="L49" s="42">
        <f t="shared" si="49"/>
        <v>310.52864768847036</v>
      </c>
      <c r="M49" s="42">
        <f t="shared" si="49"/>
        <v>326.60791076011287</v>
      </c>
      <c r="N49" s="42">
        <f t="shared" si="49"/>
        <v>338.88193038520996</v>
      </c>
      <c r="O49" s="42">
        <f t="shared" si="49"/>
        <v>347.41507527631842</v>
      </c>
      <c r="P49" s="42">
        <f t="shared" si="49"/>
        <v>352.48048742260352</v>
      </c>
      <c r="Q49" s="42">
        <f t="shared" si="49"/>
        <v>354.51792645177648</v>
      </c>
    </row>
    <row r="50" spans="2:17">
      <c r="B50" s="74" t="s">
        <v>234</v>
      </c>
      <c r="C50" s="58">
        <v>125.107</v>
      </c>
      <c r="D50" s="58">
        <v>192.572</v>
      </c>
      <c r="E50" s="58">
        <v>238.672</v>
      </c>
      <c r="F50" s="58">
        <v>184.50200000000001</v>
      </c>
      <c r="G50" s="58">
        <v>251.459</v>
      </c>
      <c r="H50" s="42">
        <f>H$10*H95</f>
        <v>262.97394418527676</v>
      </c>
      <c r="I50" s="42">
        <f t="shared" ref="I50:Q50" si="50">I$10*I95</f>
        <v>296.26126199869231</v>
      </c>
      <c r="J50" s="42">
        <f t="shared" si="50"/>
        <v>327.42210710899968</v>
      </c>
      <c r="K50" s="42">
        <f t="shared" si="50"/>
        <v>355.44298560929565</v>
      </c>
      <c r="L50" s="42">
        <f t="shared" si="50"/>
        <v>379.53501384146375</v>
      </c>
      <c r="M50" s="42">
        <f t="shared" si="50"/>
        <v>399.18744648458244</v>
      </c>
      <c r="N50" s="42">
        <f t="shared" si="50"/>
        <v>414.18902602636774</v>
      </c>
      <c r="O50" s="42">
        <f t="shared" si="50"/>
        <v>424.6184253377225</v>
      </c>
      <c r="P50" s="42">
        <f t="shared" si="50"/>
        <v>489.55623253139385</v>
      </c>
      <c r="Q50" s="42">
        <f t="shared" si="50"/>
        <v>551.47233003609676</v>
      </c>
    </row>
    <row r="51" spans="2:17">
      <c r="B51" s="75" t="s">
        <v>69</v>
      </c>
      <c r="C51" s="56">
        <f>SUM(C46:C50)</f>
        <v>2124.3790000000004</v>
      </c>
      <c r="D51" s="56">
        <f t="shared" ref="D51:Q51" si="51">SUM(D46:D50)</f>
        <v>2614.8530000000001</v>
      </c>
      <c r="E51" s="56">
        <f t="shared" si="51"/>
        <v>3159.453</v>
      </c>
      <c r="F51" s="56">
        <f t="shared" si="51"/>
        <v>4060.5769999999998</v>
      </c>
      <c r="G51" s="56">
        <f t="shared" si="51"/>
        <v>3980.3020000000001</v>
      </c>
      <c r="H51" s="49">
        <f t="shared" si="51"/>
        <v>4673.4305516100303</v>
      </c>
      <c r="I51" s="49">
        <f t="shared" si="51"/>
        <v>5081.6430570665962</v>
      </c>
      <c r="J51" s="49">
        <f t="shared" si="51"/>
        <v>5521.0927926511313</v>
      </c>
      <c r="K51" s="49">
        <f t="shared" si="51"/>
        <v>5988.3537487651565</v>
      </c>
      <c r="L51" s="49">
        <f t="shared" si="51"/>
        <v>6491.0037554676182</v>
      </c>
      <c r="M51" s="49">
        <f t="shared" si="51"/>
        <v>7026.4379987772754</v>
      </c>
      <c r="N51" s="49">
        <f t="shared" si="51"/>
        <v>7578.5180348915501</v>
      </c>
      <c r="O51" s="49">
        <f t="shared" si="51"/>
        <v>8155.9294593030745</v>
      </c>
      <c r="P51" s="49">
        <f t="shared" si="51"/>
        <v>8755.3480416327457</v>
      </c>
      <c r="Q51" s="49">
        <f t="shared" si="51"/>
        <v>9373.4225061229263</v>
      </c>
    </row>
    <row r="52" spans="2:17">
      <c r="B52" s="69"/>
      <c r="C52" s="76"/>
      <c r="D52" s="76"/>
      <c r="E52" s="76"/>
      <c r="F52" s="76"/>
      <c r="G52" s="76"/>
      <c r="H52" s="76"/>
      <c r="I52" s="76"/>
      <c r="J52" s="77"/>
      <c r="K52" s="77"/>
      <c r="L52" s="77"/>
      <c r="M52" s="77"/>
      <c r="N52" s="77"/>
      <c r="O52" s="77"/>
      <c r="P52" s="77"/>
      <c r="Q52" s="77"/>
    </row>
    <row r="53" spans="2:17">
      <c r="B53" s="71" t="s">
        <v>70</v>
      </c>
      <c r="C53" s="76"/>
      <c r="D53" s="76"/>
      <c r="E53" s="76"/>
      <c r="F53" s="76"/>
      <c r="G53" s="76"/>
      <c r="H53" s="76"/>
      <c r="I53" s="76"/>
      <c r="J53" s="77"/>
      <c r="K53" s="77"/>
      <c r="L53" s="77"/>
      <c r="M53" s="77"/>
      <c r="N53" s="77"/>
      <c r="O53" s="77"/>
      <c r="P53" s="77"/>
      <c r="Q53" s="77"/>
    </row>
    <row r="54" spans="2:17">
      <c r="B54" s="78" t="s">
        <v>235</v>
      </c>
      <c r="C54" s="41">
        <v>745.68700000000001</v>
      </c>
      <c r="D54" s="41">
        <v>927.71</v>
      </c>
      <c r="E54" s="41">
        <v>1269.614</v>
      </c>
      <c r="F54" s="41">
        <v>1545.8109999999999</v>
      </c>
      <c r="G54" s="41">
        <v>1780.617</v>
      </c>
      <c r="H54" s="286">
        <f>'Supporting Schedules'!I79</f>
        <v>2046.0374345558303</v>
      </c>
      <c r="I54" s="286">
        <f>'Supporting Schedules'!J79</f>
        <v>2333.2862147924934</v>
      </c>
      <c r="J54" s="286">
        <f>'Supporting Schedules'!K79</f>
        <v>2629.5663889704992</v>
      </c>
      <c r="K54" s="286">
        <f>'Supporting Schedules'!L79</f>
        <v>2922.8028274410594</v>
      </c>
      <c r="L54" s="286">
        <f>'Supporting Schedules'!M79</f>
        <v>3202.1038376977795</v>
      </c>
      <c r="M54" s="286">
        <f>'Supporting Schedules'!N79</f>
        <v>3458.2476488683797</v>
      </c>
      <c r="N54" s="286">
        <f>'Supporting Schedules'!O79</f>
        <v>3684.0899181801797</v>
      </c>
      <c r="O54" s="286">
        <f>'Supporting Schedules'!P79</f>
        <v>3874.8227582483751</v>
      </c>
      <c r="P54" s="286">
        <f>'Supporting Schedules'!Q79</f>
        <v>4028.0533212062328</v>
      </c>
      <c r="Q54" s="286">
        <f>'Supporting Schedules'!R79</f>
        <v>4143.7047084281139</v>
      </c>
    </row>
    <row r="55" spans="2:17">
      <c r="B55" s="78" t="s">
        <v>236</v>
      </c>
      <c r="C55" s="41">
        <v>734.83500000000004</v>
      </c>
      <c r="D55" s="41">
        <v>803.54300000000001</v>
      </c>
      <c r="E55" s="41">
        <v>969.41899999999998</v>
      </c>
      <c r="F55" s="41">
        <v>1265.6099999999999</v>
      </c>
      <c r="G55" s="41">
        <v>1416.2560000000001</v>
      </c>
      <c r="H55" s="42">
        <f t="shared" ref="H55:Q55" si="52">H10*H96</f>
        <v>1577.8436651116608</v>
      </c>
      <c r="I55" s="42">
        <f t="shared" si="52"/>
        <v>1777.5675719921542</v>
      </c>
      <c r="J55" s="42">
        <f t="shared" si="52"/>
        <v>1964.5326426539982</v>
      </c>
      <c r="K55" s="42">
        <f t="shared" si="52"/>
        <v>2132.6579136557739</v>
      </c>
      <c r="L55" s="42">
        <f t="shared" si="52"/>
        <v>2277.210083048783</v>
      </c>
      <c r="M55" s="42">
        <f t="shared" si="52"/>
        <v>2395.1246789074949</v>
      </c>
      <c r="N55" s="42">
        <f t="shared" si="52"/>
        <v>2485.1341561582067</v>
      </c>
      <c r="O55" s="42">
        <f t="shared" si="52"/>
        <v>2547.7105520263353</v>
      </c>
      <c r="P55" s="42">
        <f t="shared" si="52"/>
        <v>2584.8569077657594</v>
      </c>
      <c r="Q55" s="42">
        <f t="shared" si="52"/>
        <v>2599.7981273130276</v>
      </c>
    </row>
    <row r="56" spans="2:17">
      <c r="B56" s="78" t="s">
        <v>237</v>
      </c>
      <c r="C56" s="41">
        <v>386.87700000000001</v>
      </c>
      <c r="D56" s="41">
        <v>386.88</v>
      </c>
      <c r="E56" s="41">
        <v>24.143999999999998</v>
      </c>
      <c r="F56" s="41">
        <v>24.082999999999998</v>
      </c>
      <c r="G56" s="41">
        <v>159.518</v>
      </c>
      <c r="H56" s="299">
        <f>G56</f>
        <v>159.518</v>
      </c>
      <c r="I56" s="299">
        <f t="shared" ref="I56:Q56" si="53">H56</f>
        <v>159.518</v>
      </c>
      <c r="J56" s="299">
        <f t="shared" si="53"/>
        <v>159.518</v>
      </c>
      <c r="K56" s="299">
        <f t="shared" si="53"/>
        <v>159.518</v>
      </c>
      <c r="L56" s="299">
        <f t="shared" si="53"/>
        <v>159.518</v>
      </c>
      <c r="M56" s="299">
        <f t="shared" si="53"/>
        <v>159.518</v>
      </c>
      <c r="N56" s="299">
        <f t="shared" si="53"/>
        <v>159.518</v>
      </c>
      <c r="O56" s="299">
        <f t="shared" si="53"/>
        <v>159.518</v>
      </c>
      <c r="P56" s="299">
        <f t="shared" si="53"/>
        <v>159.518</v>
      </c>
      <c r="Q56" s="299">
        <f t="shared" si="53"/>
        <v>159.518</v>
      </c>
    </row>
    <row r="57" spans="2:17">
      <c r="B57" s="78" t="s">
        <v>238</v>
      </c>
      <c r="C57" s="41">
        <v>80.08</v>
      </c>
      <c r="D57" s="41">
        <v>71.299000000000007</v>
      </c>
      <c r="E57" s="41">
        <v>21.960999999999999</v>
      </c>
      <c r="F57" s="41">
        <v>0</v>
      </c>
      <c r="G57" s="41">
        <v>11.673</v>
      </c>
      <c r="H57" s="306">
        <f>G57-H92</f>
        <v>86.673000000000002</v>
      </c>
      <c r="I57" s="306">
        <f>H57-I92+H92</f>
        <v>100.673</v>
      </c>
      <c r="J57" s="306">
        <f t="shared" ref="J57:Q57" si="54">I57-J92+I92</f>
        <v>106.673</v>
      </c>
      <c r="K57" s="306">
        <f t="shared" si="54"/>
        <v>103.673</v>
      </c>
      <c r="L57" s="306">
        <f>K57-L92+K92+L93</f>
        <v>93.673000000000002</v>
      </c>
      <c r="M57" s="306">
        <f t="shared" si="54"/>
        <v>76.673000000000002</v>
      </c>
      <c r="N57" s="306">
        <f t="shared" si="54"/>
        <v>54.673000000000002</v>
      </c>
      <c r="O57" s="306">
        <f t="shared" si="54"/>
        <v>28.673000000000002</v>
      </c>
      <c r="P57" s="306">
        <f t="shared" si="54"/>
        <v>-0.32699999999999818</v>
      </c>
      <c r="Q57" s="306">
        <f t="shared" si="54"/>
        <v>-31.326999999999998</v>
      </c>
    </row>
    <row r="58" spans="2:17">
      <c r="B58" s="78" t="s">
        <v>239</v>
      </c>
      <c r="C58" s="41">
        <v>6.7309999999999999</v>
      </c>
      <c r="D58" s="41">
        <v>6.0910000000000002</v>
      </c>
      <c r="E58" s="41">
        <v>6.4020000000000001</v>
      </c>
      <c r="F58" s="41">
        <v>9.1760000000000002</v>
      </c>
      <c r="G58" s="41">
        <v>17.085000000000001</v>
      </c>
      <c r="H58" s="306">
        <f>G58+H119</f>
        <v>70.875124946988421</v>
      </c>
      <c r="I58" s="306">
        <f t="shared" ref="I58:Q58" si="55">H58+I119</f>
        <v>131.47401944672094</v>
      </c>
      <c r="J58" s="306">
        <f t="shared" si="55"/>
        <v>198.44672317356179</v>
      </c>
      <c r="K58" s="306">
        <f t="shared" si="55"/>
        <v>271.15097023000862</v>
      </c>
      <c r="L58" s="306">
        <f t="shared" si="55"/>
        <v>348.7831321521262</v>
      </c>
      <c r="M58" s="306">
        <f t="shared" si="55"/>
        <v>430.43510984215442</v>
      </c>
      <c r="N58" s="306">
        <f t="shared" si="55"/>
        <v>515.15559243845689</v>
      </c>
      <c r="O58" s="306">
        <f t="shared" si="55"/>
        <v>602.00936125753651</v>
      </c>
      <c r="P58" s="306">
        <f t="shared" si="55"/>
        <v>690.12948311318735</v>
      </c>
      <c r="Q58" s="306">
        <f t="shared" si="55"/>
        <v>778.75896472613147</v>
      </c>
    </row>
    <row r="59" spans="2:17">
      <c r="B59" s="79" t="s">
        <v>71</v>
      </c>
      <c r="C59" s="58">
        <v>106.626</v>
      </c>
      <c r="D59" s="58">
        <v>132.102</v>
      </c>
      <c r="E59" s="58">
        <v>156.04499999999999</v>
      </c>
      <c r="F59" s="58">
        <v>186.684</v>
      </c>
      <c r="G59" s="58">
        <v>237.84100000000001</v>
      </c>
      <c r="H59" s="59">
        <f t="shared" ref="H59:Q59" si="56">H10*H97</f>
        <v>251.02058308594604</v>
      </c>
      <c r="I59" s="59">
        <f t="shared" si="56"/>
        <v>282.79484099875179</v>
      </c>
      <c r="J59" s="59">
        <f t="shared" si="56"/>
        <v>312.53928405859062</v>
      </c>
      <c r="K59" s="59">
        <f t="shared" si="56"/>
        <v>339.28648626341862</v>
      </c>
      <c r="L59" s="59">
        <f t="shared" si="56"/>
        <v>362.28342230321545</v>
      </c>
      <c r="M59" s="59">
        <f t="shared" si="56"/>
        <v>381.04256255346507</v>
      </c>
      <c r="N59" s="59">
        <f t="shared" si="56"/>
        <v>395.36225211607837</v>
      </c>
      <c r="O59" s="59">
        <f t="shared" si="56"/>
        <v>405.31758782237154</v>
      </c>
      <c r="P59" s="59">
        <f t="shared" si="56"/>
        <v>411.22723532637087</v>
      </c>
      <c r="Q59" s="59">
        <f t="shared" si="56"/>
        <v>413.60424752707263</v>
      </c>
    </row>
    <row r="60" spans="2:17">
      <c r="B60" s="80" t="s">
        <v>72</v>
      </c>
      <c r="C60" s="81">
        <f>SUM(C51,C54:C59)</f>
        <v>4185.2150000000001</v>
      </c>
      <c r="D60" s="81">
        <f t="shared" ref="D60:Q60" si="57">SUM(D51,D54:D59)</f>
        <v>4942.4780000000001</v>
      </c>
      <c r="E60" s="81">
        <f t="shared" si="57"/>
        <v>5607.0380000000005</v>
      </c>
      <c r="F60" s="81">
        <f t="shared" si="57"/>
        <v>7091.9409999999998</v>
      </c>
      <c r="G60" s="81">
        <f t="shared" si="57"/>
        <v>7603.2920000000004</v>
      </c>
      <c r="H60" s="82">
        <f t="shared" si="57"/>
        <v>8865.3983593104567</v>
      </c>
      <c r="I60" s="82">
        <f t="shared" si="57"/>
        <v>9866.9567042967174</v>
      </c>
      <c r="J60" s="82">
        <f t="shared" si="57"/>
        <v>10892.368831507782</v>
      </c>
      <c r="K60" s="82">
        <f t="shared" si="57"/>
        <v>11917.442946355417</v>
      </c>
      <c r="L60" s="82">
        <f t="shared" si="57"/>
        <v>12934.575230669523</v>
      </c>
      <c r="M60" s="82">
        <f t="shared" si="57"/>
        <v>13927.478998948769</v>
      </c>
      <c r="N60" s="82">
        <f t="shared" si="57"/>
        <v>14872.450953784471</v>
      </c>
      <c r="O60" s="82">
        <f t="shared" si="57"/>
        <v>15773.980718657695</v>
      </c>
      <c r="P60" s="82">
        <f t="shared" si="57"/>
        <v>16628.805989044296</v>
      </c>
      <c r="Q60" s="82">
        <f t="shared" si="57"/>
        <v>17437.479554117275</v>
      </c>
    </row>
    <row r="61" spans="2:17">
      <c r="B61" s="69"/>
      <c r="C61" s="83"/>
      <c r="D61" s="83"/>
      <c r="E61" s="83"/>
      <c r="F61" s="76"/>
      <c r="G61" s="76"/>
      <c r="H61" s="76"/>
      <c r="I61" s="76"/>
      <c r="J61" s="77"/>
      <c r="K61" s="77"/>
      <c r="L61" s="77"/>
      <c r="M61" s="77"/>
      <c r="N61" s="77"/>
      <c r="O61" s="77"/>
      <c r="P61" s="77"/>
      <c r="Q61" s="77"/>
    </row>
    <row r="62" spans="2:17">
      <c r="B62" s="68" t="s">
        <v>73</v>
      </c>
      <c r="C62" s="83"/>
      <c r="D62" s="83"/>
      <c r="E62" s="83"/>
      <c r="F62" s="70"/>
      <c r="G62" s="70"/>
      <c r="H62" s="70"/>
      <c r="I62" s="70"/>
      <c r="J62" s="84"/>
      <c r="K62" s="85"/>
      <c r="L62" s="85"/>
      <c r="M62" s="85"/>
      <c r="N62" s="85"/>
      <c r="O62" s="85"/>
      <c r="P62" s="85"/>
      <c r="Q62" s="85"/>
    </row>
    <row r="63" spans="2:17">
      <c r="B63" s="68"/>
      <c r="C63" s="83"/>
      <c r="D63" s="83"/>
      <c r="E63" s="83"/>
      <c r="F63" s="70"/>
      <c r="G63" s="70"/>
      <c r="H63" s="70"/>
      <c r="I63" s="70"/>
      <c r="J63" s="84"/>
      <c r="K63" s="85"/>
      <c r="L63" s="85"/>
      <c r="M63" s="85"/>
      <c r="N63" s="85"/>
      <c r="O63" s="85"/>
      <c r="P63" s="85"/>
      <c r="Q63" s="85"/>
    </row>
    <row r="64" spans="2:17">
      <c r="B64" s="86" t="s">
        <v>74</v>
      </c>
      <c r="C64" s="83"/>
      <c r="D64" s="83"/>
      <c r="E64" s="83"/>
      <c r="F64" s="70"/>
      <c r="G64" s="70"/>
      <c r="H64" s="70"/>
      <c r="I64" s="70"/>
      <c r="J64" s="84"/>
      <c r="K64" s="85"/>
      <c r="L64" s="85"/>
      <c r="M64" s="85"/>
      <c r="N64" s="85"/>
      <c r="O64" s="85"/>
      <c r="P64" s="85"/>
      <c r="Q64" s="85"/>
    </row>
    <row r="65" spans="2:19">
      <c r="B65" s="74" t="s">
        <v>75</v>
      </c>
      <c r="C65" s="41">
        <v>172.24600000000001</v>
      </c>
      <c r="D65" s="41">
        <v>289.72800000000001</v>
      </c>
      <c r="E65" s="41">
        <v>172.732</v>
      </c>
      <c r="F65" s="41">
        <v>348.44099999999997</v>
      </c>
      <c r="G65" s="41">
        <v>271.40600000000001</v>
      </c>
      <c r="H65" s="286">
        <f>'Supporting Schedules'!I42</f>
        <v>332.03780831474342</v>
      </c>
      <c r="I65" s="286">
        <f>'Supporting Schedules'!J42</f>
        <v>374.06724999834893</v>
      </c>
      <c r="J65" s="286">
        <f>'Supporting Schedules'!K42</f>
        <v>413.41175140025211</v>
      </c>
      <c r="K65" s="286">
        <f>'Supporting Schedules'!L42</f>
        <v>448.79164849658542</v>
      </c>
      <c r="L65" s="286">
        <f>'Supporting Schedules'!M42</f>
        <v>479.2108760624543</v>
      </c>
      <c r="M65" s="286">
        <f>'Supporting Schedules'!N42</f>
        <v>504.02455364214956</v>
      </c>
      <c r="N65" s="286">
        <f>'Supporting Schedules'!O42</f>
        <v>522.96594195248463</v>
      </c>
      <c r="O65" s="286">
        <f>'Supporting Schedules'!P42</f>
        <v>536.13437542641736</v>
      </c>
      <c r="P65" s="286">
        <f>'Supporting Schedules'!Q42</f>
        <v>543.95136947932644</v>
      </c>
      <c r="Q65" s="286">
        <f>'Supporting Schedules'!R42</f>
        <v>547.0955655120008</v>
      </c>
    </row>
    <row r="66" spans="2:19">
      <c r="B66" s="74" t="s">
        <v>240</v>
      </c>
      <c r="C66" s="41">
        <f>SUM(14.956+211.911)</f>
        <v>226.86699999999999</v>
      </c>
      <c r="D66" s="41">
        <v>330.8</v>
      </c>
      <c r="E66" s="41">
        <v>399.22300000000001</v>
      </c>
      <c r="F66" s="41">
        <v>348.55500000000001</v>
      </c>
      <c r="G66" s="41">
        <v>559.46299999999997</v>
      </c>
      <c r="H66" s="306">
        <f t="shared" ref="H66:Q66" si="58">-H100*H12</f>
        <v>531.58987480943779</v>
      </c>
      <c r="I66" s="306">
        <f t="shared" si="58"/>
        <v>590.07163537539554</v>
      </c>
      <c r="J66" s="306">
        <f t="shared" si="58"/>
        <v>645.64662957284656</v>
      </c>
      <c r="K66" s="306">
        <f t="shared" si="58"/>
        <v>697.37913776543803</v>
      </c>
      <c r="L66" s="306">
        <f t="shared" si="58"/>
        <v>740.88685020161381</v>
      </c>
      <c r="M66" s="306">
        <f t="shared" si="58"/>
        <v>775.29460060878353</v>
      </c>
      <c r="N66" s="306">
        <f t="shared" si="58"/>
        <v>804.43039563884736</v>
      </c>
      <c r="O66" s="306">
        <f t="shared" si="58"/>
        <v>824.68618535591861</v>
      </c>
      <c r="P66" s="306">
        <f t="shared" si="58"/>
        <v>836.71034814405584</v>
      </c>
      <c r="Q66" s="306">
        <f t="shared" si="58"/>
        <v>841.54677563508369</v>
      </c>
    </row>
    <row r="67" spans="2:19">
      <c r="B67" s="74" t="s">
        <v>241</v>
      </c>
      <c r="C67" s="41">
        <v>130.17099999999999</v>
      </c>
      <c r="D67" s="41">
        <v>204.92099999999999</v>
      </c>
      <c r="E67" s="41">
        <v>248.167</v>
      </c>
      <c r="F67" s="41">
        <v>326.11</v>
      </c>
      <c r="G67" s="41">
        <v>204.54300000000001</v>
      </c>
      <c r="H67" s="42">
        <f t="shared" ref="H67:Q67" si="59">-H101*H18</f>
        <v>393.67016394557135</v>
      </c>
      <c r="I67" s="42">
        <f t="shared" si="59"/>
        <v>449.77632866201566</v>
      </c>
      <c r="J67" s="42">
        <f t="shared" si="59"/>
        <v>501.70493550658426</v>
      </c>
      <c r="K67" s="42">
        <f t="shared" si="59"/>
        <v>547.14314585663067</v>
      </c>
      <c r="L67" s="42">
        <f t="shared" si="59"/>
        <v>586.90545503274996</v>
      </c>
      <c r="M67" s="42">
        <f t="shared" si="59"/>
        <v>620.11514462269429</v>
      </c>
      <c r="N67" s="42">
        <f t="shared" si="59"/>
        <v>643.41123387112873</v>
      </c>
      <c r="O67" s="42">
        <f t="shared" si="59"/>
        <v>659.60714287445239</v>
      </c>
      <c r="P67" s="42">
        <f t="shared" si="59"/>
        <v>669.22129512810159</v>
      </c>
      <c r="Q67" s="42">
        <f t="shared" si="59"/>
        <v>673.08835440547182</v>
      </c>
    </row>
    <row r="68" spans="2:19">
      <c r="B68" s="74" t="s">
        <v>76</v>
      </c>
      <c r="C68" s="41">
        <v>166.09100000000001</v>
      </c>
      <c r="D68" s="41">
        <v>188.99600000000001</v>
      </c>
      <c r="E68" s="41">
        <v>207.97200000000001</v>
      </c>
      <c r="F68" s="41">
        <v>249.27</v>
      </c>
      <c r="G68" s="41">
        <v>275.154</v>
      </c>
      <c r="H68" s="299">
        <f>G68</f>
        <v>275.154</v>
      </c>
      <c r="I68" s="299">
        <f t="shared" ref="I68:Q69" si="60">H68</f>
        <v>275.154</v>
      </c>
      <c r="J68" s="299">
        <f t="shared" si="60"/>
        <v>275.154</v>
      </c>
      <c r="K68" s="299">
        <f t="shared" si="60"/>
        <v>275.154</v>
      </c>
      <c r="L68" s="299">
        <f t="shared" si="60"/>
        <v>275.154</v>
      </c>
      <c r="M68" s="299">
        <f t="shared" si="60"/>
        <v>275.154</v>
      </c>
      <c r="N68" s="299">
        <f t="shared" si="60"/>
        <v>275.154</v>
      </c>
      <c r="O68" s="299">
        <f t="shared" si="60"/>
        <v>275.154</v>
      </c>
      <c r="P68" s="299">
        <f t="shared" si="60"/>
        <v>275.154</v>
      </c>
      <c r="Q68" s="299">
        <f t="shared" si="60"/>
        <v>275.154</v>
      </c>
    </row>
    <row r="69" spans="2:19">
      <c r="B69" s="74" t="s">
        <v>243</v>
      </c>
      <c r="C69" s="41">
        <v>8.3569999999999993</v>
      </c>
      <c r="D69" s="41">
        <v>133.852</v>
      </c>
      <c r="E69" s="41">
        <v>174.221</v>
      </c>
      <c r="F69" s="41">
        <v>12.098000000000001</v>
      </c>
      <c r="G69" s="41">
        <v>183.126</v>
      </c>
      <c r="H69" s="299">
        <f>G69</f>
        <v>183.126</v>
      </c>
      <c r="I69" s="299">
        <f t="shared" si="60"/>
        <v>183.126</v>
      </c>
      <c r="J69" s="299">
        <f t="shared" si="60"/>
        <v>183.126</v>
      </c>
      <c r="K69" s="299">
        <f t="shared" si="60"/>
        <v>183.126</v>
      </c>
      <c r="L69" s="299">
        <f t="shared" si="60"/>
        <v>183.126</v>
      </c>
      <c r="M69" s="299">
        <f t="shared" si="60"/>
        <v>183.126</v>
      </c>
      <c r="N69" s="299">
        <f t="shared" si="60"/>
        <v>183.126</v>
      </c>
      <c r="O69" s="299">
        <f t="shared" si="60"/>
        <v>183.126</v>
      </c>
      <c r="P69" s="299">
        <f t="shared" si="60"/>
        <v>183.126</v>
      </c>
      <c r="Q69" s="299">
        <f t="shared" si="60"/>
        <v>183.126</v>
      </c>
    </row>
    <row r="70" spans="2:19">
      <c r="B70" s="74" t="s">
        <v>242</v>
      </c>
      <c r="C70" s="41">
        <v>155.84800000000001</v>
      </c>
      <c r="D70" s="41">
        <v>208.19499999999999</v>
      </c>
      <c r="E70" s="41">
        <v>251.47800000000001</v>
      </c>
      <c r="F70" s="41">
        <v>306.47899999999998</v>
      </c>
      <c r="G70" s="41">
        <v>308.35199999999998</v>
      </c>
      <c r="H70" s="42">
        <f t="shared" ref="H70:Q70" si="61">H99*H10</f>
        <v>370.55419407925365</v>
      </c>
      <c r="I70" s="42">
        <f t="shared" si="61"/>
        <v>417.45905099815741</v>
      </c>
      <c r="J70" s="42">
        <f t="shared" si="61"/>
        <v>461.36751456268138</v>
      </c>
      <c r="K70" s="42">
        <f t="shared" si="61"/>
        <v>500.85147972218931</v>
      </c>
      <c r="L70" s="42">
        <f t="shared" si="61"/>
        <v>534.79933768569902</v>
      </c>
      <c r="M70" s="42">
        <f t="shared" si="61"/>
        <v>562.49140186463887</v>
      </c>
      <c r="N70" s="42">
        <f t="shared" si="61"/>
        <v>583.6299912189728</v>
      </c>
      <c r="O70" s="42">
        <f t="shared" si="61"/>
        <v>598.32596297588179</v>
      </c>
      <c r="P70" s="42">
        <f t="shared" si="61"/>
        <v>607.04972833892839</v>
      </c>
      <c r="Q70" s="42">
        <f t="shared" si="61"/>
        <v>610.55865111139292</v>
      </c>
    </row>
    <row r="71" spans="2:19">
      <c r="B71" s="74" t="s">
        <v>77</v>
      </c>
      <c r="C71" s="58">
        <v>23.597999999999999</v>
      </c>
      <c r="D71" s="58">
        <v>48.841999999999999</v>
      </c>
      <c r="E71" s="58">
        <v>38.405000000000001</v>
      </c>
      <c r="F71" s="58">
        <v>40.308</v>
      </c>
      <c r="G71" s="58">
        <v>37.585999999999999</v>
      </c>
      <c r="H71" s="307">
        <f t="shared" ref="H71:Q71" si="62">-H103*H18</f>
        <v>55.517587223093393</v>
      </c>
      <c r="I71" s="307">
        <f t="shared" si="62"/>
        <v>63.429995067720156</v>
      </c>
      <c r="J71" s="307">
        <f t="shared" si="62"/>
        <v>70.753260135543925</v>
      </c>
      <c r="K71" s="307">
        <f t="shared" si="62"/>
        <v>77.161212877217153</v>
      </c>
      <c r="L71" s="307">
        <f t="shared" si="62"/>
        <v>82.768718017439099</v>
      </c>
      <c r="M71" s="307">
        <f t="shared" si="62"/>
        <v>87.452135780123555</v>
      </c>
      <c r="N71" s="307">
        <f t="shared" si="62"/>
        <v>90.737481699774548</v>
      </c>
      <c r="O71" s="307">
        <f t="shared" si="62"/>
        <v>93.02152014896123</v>
      </c>
      <c r="P71" s="307">
        <f t="shared" si="62"/>
        <v>94.37736213345022</v>
      </c>
      <c r="Q71" s="307">
        <f t="shared" si="62"/>
        <v>94.922716646925494</v>
      </c>
    </row>
    <row r="72" spans="2:19">
      <c r="B72" s="75" t="s">
        <v>78</v>
      </c>
      <c r="C72" s="81">
        <f t="shared" ref="C72:Q72" si="63">SUM(C65:C71)</f>
        <v>883.17799999999988</v>
      </c>
      <c r="D72" s="81">
        <f t="shared" si="63"/>
        <v>1405.3340000000001</v>
      </c>
      <c r="E72" s="81">
        <f t="shared" si="63"/>
        <v>1492.1980000000001</v>
      </c>
      <c r="F72" s="81">
        <f t="shared" si="63"/>
        <v>1631.261</v>
      </c>
      <c r="G72" s="81">
        <f t="shared" si="63"/>
        <v>1839.6299999999999</v>
      </c>
      <c r="H72" s="82">
        <f t="shared" si="63"/>
        <v>2141.6496283720994</v>
      </c>
      <c r="I72" s="82">
        <f t="shared" si="63"/>
        <v>2353.0842601016375</v>
      </c>
      <c r="J72" s="82">
        <f t="shared" si="63"/>
        <v>2551.1640911779082</v>
      </c>
      <c r="K72" s="82">
        <f t="shared" si="63"/>
        <v>2729.6066247180606</v>
      </c>
      <c r="L72" s="82">
        <f t="shared" si="63"/>
        <v>2882.8512369999562</v>
      </c>
      <c r="M72" s="82">
        <f t="shared" si="63"/>
        <v>3007.65783651839</v>
      </c>
      <c r="N72" s="82">
        <f t="shared" si="63"/>
        <v>3103.4550443812082</v>
      </c>
      <c r="O72" s="82">
        <f t="shared" si="63"/>
        <v>3170.0551867816321</v>
      </c>
      <c r="P72" s="82">
        <f t="shared" si="63"/>
        <v>3209.5901032238626</v>
      </c>
      <c r="Q72" s="82">
        <f t="shared" si="63"/>
        <v>3225.492063310875</v>
      </c>
    </row>
    <row r="73" spans="2:19">
      <c r="B73" s="40"/>
      <c r="C73" s="87"/>
      <c r="D73" s="87"/>
      <c r="E73" s="87"/>
      <c r="F73" s="87"/>
      <c r="G73" s="87"/>
      <c r="H73" s="87"/>
      <c r="I73" s="87"/>
      <c r="J73" s="72"/>
      <c r="K73" s="72"/>
      <c r="L73" s="72"/>
      <c r="M73" s="72"/>
      <c r="N73" s="72"/>
      <c r="O73" s="72"/>
      <c r="P73" s="72"/>
      <c r="Q73" s="72"/>
    </row>
    <row r="74" spans="2:19">
      <c r="B74" s="86" t="s">
        <v>79</v>
      </c>
      <c r="C74" s="87"/>
      <c r="D74" s="87"/>
      <c r="E74" s="87"/>
      <c r="F74" s="87"/>
      <c r="G74" s="87"/>
      <c r="H74" s="87"/>
      <c r="I74" s="87"/>
      <c r="J74" s="72"/>
      <c r="K74" s="72"/>
      <c r="L74" s="72"/>
      <c r="M74" s="72"/>
      <c r="N74" s="72"/>
      <c r="O74" s="72"/>
      <c r="P74" s="72"/>
      <c r="Q74" s="72"/>
    </row>
    <row r="75" spans="2:19">
      <c r="B75" s="78" t="s">
        <v>244</v>
      </c>
      <c r="C75" s="41">
        <v>632.59</v>
      </c>
      <c r="D75" s="41">
        <v>692.05600000000004</v>
      </c>
      <c r="E75" s="41">
        <v>862.36199999999997</v>
      </c>
      <c r="F75" s="41">
        <v>1154.0119999999999</v>
      </c>
      <c r="G75" s="41">
        <v>1300.6369999999999</v>
      </c>
      <c r="H75" s="42">
        <f t="shared" ref="H75:Q75" si="64">-H102*H18</f>
        <v>1731.1393106837306</v>
      </c>
      <c r="I75" s="42">
        <f t="shared" si="64"/>
        <v>1977.8625734752743</v>
      </c>
      <c r="J75" s="42">
        <f t="shared" si="64"/>
        <v>2206.2152933174157</v>
      </c>
      <c r="K75" s="42">
        <f t="shared" si="64"/>
        <v>2406.0269106259534</v>
      </c>
      <c r="L75" s="42">
        <f t="shared" si="64"/>
        <v>2580.8791163619649</v>
      </c>
      <c r="M75" s="42">
        <f t="shared" si="64"/>
        <v>2726.9165975074893</v>
      </c>
      <c r="N75" s="42">
        <f t="shared" si="64"/>
        <v>2829.3596566384249</v>
      </c>
      <c r="O75" s="42">
        <f t="shared" si="64"/>
        <v>2900.5801282812458</v>
      </c>
      <c r="P75" s="42">
        <f t="shared" si="64"/>
        <v>2942.8577465248572</v>
      </c>
      <c r="Q75" s="42">
        <f t="shared" si="64"/>
        <v>2959.8628918086774</v>
      </c>
    </row>
    <row r="76" spans="2:19">
      <c r="B76" s="74" t="s">
        <v>245</v>
      </c>
      <c r="C76" s="41">
        <v>43.15</v>
      </c>
      <c r="D76" s="41">
        <v>38.073999999999998</v>
      </c>
      <c r="E76" s="41">
        <v>28.555</v>
      </c>
      <c r="F76" s="41">
        <v>15.864000000000001</v>
      </c>
      <c r="G76" s="41">
        <v>0</v>
      </c>
      <c r="H76" s="299">
        <f>G76</f>
        <v>0</v>
      </c>
      <c r="I76" s="299">
        <f t="shared" ref="I76:Q76" si="65">H76</f>
        <v>0</v>
      </c>
      <c r="J76" s="299">
        <f t="shared" si="65"/>
        <v>0</v>
      </c>
      <c r="K76" s="299">
        <f t="shared" si="65"/>
        <v>0</v>
      </c>
      <c r="L76" s="299">
        <f t="shared" si="65"/>
        <v>0</v>
      </c>
      <c r="M76" s="299">
        <f t="shared" si="65"/>
        <v>0</v>
      </c>
      <c r="N76" s="299">
        <f t="shared" si="65"/>
        <v>0</v>
      </c>
      <c r="O76" s="299">
        <f t="shared" si="65"/>
        <v>0</v>
      </c>
      <c r="P76" s="299">
        <f t="shared" si="65"/>
        <v>0</v>
      </c>
      <c r="Q76" s="299">
        <f t="shared" si="65"/>
        <v>0</v>
      </c>
    </row>
    <row r="77" spans="2:19">
      <c r="B77" s="74" t="s">
        <v>246</v>
      </c>
      <c r="C77" s="41">
        <v>58.755000000000003</v>
      </c>
      <c r="D77" s="41">
        <v>53.351999999999997</v>
      </c>
      <c r="E77" s="41">
        <v>55.084000000000003</v>
      </c>
      <c r="F77" s="41">
        <v>29.521999999999998</v>
      </c>
      <c r="G77" s="41">
        <v>98.188000000000002</v>
      </c>
      <c r="H77" s="306">
        <f t="shared" ref="H77:Q77" si="66">G77+H119</f>
        <v>151.97812494698843</v>
      </c>
      <c r="I77" s="306">
        <f t="shared" si="66"/>
        <v>212.57701944672095</v>
      </c>
      <c r="J77" s="306">
        <f t="shared" si="66"/>
        <v>279.5497231735618</v>
      </c>
      <c r="K77" s="306">
        <f t="shared" si="66"/>
        <v>352.25397023000863</v>
      </c>
      <c r="L77" s="306">
        <f t="shared" si="66"/>
        <v>429.88613215212621</v>
      </c>
      <c r="M77" s="306">
        <f t="shared" si="66"/>
        <v>511.53810984215443</v>
      </c>
      <c r="N77" s="306">
        <f t="shared" si="66"/>
        <v>596.25859243845696</v>
      </c>
      <c r="O77" s="306">
        <f t="shared" si="66"/>
        <v>683.11236125753658</v>
      </c>
      <c r="P77" s="306">
        <f t="shared" si="66"/>
        <v>771.23248311318741</v>
      </c>
      <c r="Q77" s="306">
        <f t="shared" si="66"/>
        <v>859.86196472613153</v>
      </c>
    </row>
    <row r="78" spans="2:19">
      <c r="B78" s="74" t="s">
        <v>80</v>
      </c>
      <c r="C78" s="58">
        <v>8.9760000000000009</v>
      </c>
      <c r="D78" s="58">
        <v>13.616</v>
      </c>
      <c r="E78" s="58">
        <v>20.04</v>
      </c>
      <c r="F78" s="58">
        <v>29.201000000000001</v>
      </c>
      <c r="G78" s="58">
        <v>40.79</v>
      </c>
      <c r="H78" s="299">
        <f t="shared" ref="H78:Q78" si="67">-H104*H18</f>
        <v>100.94106767835163</v>
      </c>
      <c r="I78" s="299">
        <f t="shared" si="67"/>
        <v>115.3272637594912</v>
      </c>
      <c r="J78" s="299">
        <f t="shared" si="67"/>
        <v>128.64229115553442</v>
      </c>
      <c r="K78" s="299">
        <f t="shared" si="67"/>
        <v>140.293114322213</v>
      </c>
      <c r="L78" s="299">
        <f t="shared" si="67"/>
        <v>150.48857821352564</v>
      </c>
      <c r="M78" s="299">
        <f t="shared" si="67"/>
        <v>159.00388323658828</v>
      </c>
      <c r="N78" s="299">
        <f t="shared" si="67"/>
        <v>164.97723945413557</v>
      </c>
      <c r="O78" s="299">
        <f t="shared" si="67"/>
        <v>169.13003663447498</v>
      </c>
      <c r="P78" s="299">
        <f t="shared" si="67"/>
        <v>171.59520387900039</v>
      </c>
      <c r="Q78" s="299">
        <f t="shared" si="67"/>
        <v>172.58675753986455</v>
      </c>
    </row>
    <row r="79" spans="2:19">
      <c r="B79" s="80" t="s">
        <v>81</v>
      </c>
      <c r="C79" s="81">
        <f>SUM(C72,C75:C78)</f>
        <v>1626.6490000000003</v>
      </c>
      <c r="D79" s="81">
        <f t="shared" ref="D79:Q79" si="68">SUM(D72,D75:D78)</f>
        <v>2202.4320000000002</v>
      </c>
      <c r="E79" s="81">
        <f t="shared" si="68"/>
        <v>2458.2389999999996</v>
      </c>
      <c r="F79" s="81">
        <f t="shared" si="68"/>
        <v>2859.86</v>
      </c>
      <c r="G79" s="81">
        <f t="shared" si="68"/>
        <v>3279.2449999999999</v>
      </c>
      <c r="H79" s="82">
        <f t="shared" si="68"/>
        <v>4125.70813168117</v>
      </c>
      <c r="I79" s="82">
        <f t="shared" si="68"/>
        <v>4658.8511167831239</v>
      </c>
      <c r="J79" s="82">
        <f t="shared" si="68"/>
        <v>5165.5713988244197</v>
      </c>
      <c r="K79" s="82">
        <f t="shared" si="68"/>
        <v>5628.1806198962349</v>
      </c>
      <c r="L79" s="82">
        <f t="shared" si="68"/>
        <v>6044.105063727573</v>
      </c>
      <c r="M79" s="82">
        <f t="shared" si="68"/>
        <v>6405.1164271046218</v>
      </c>
      <c r="N79" s="82">
        <f t="shared" si="68"/>
        <v>6694.0505329122261</v>
      </c>
      <c r="O79" s="82">
        <f t="shared" si="68"/>
        <v>6922.8777129548898</v>
      </c>
      <c r="P79" s="82">
        <f t="shared" si="68"/>
        <v>7095.2755367409072</v>
      </c>
      <c r="Q79" s="82">
        <f t="shared" si="68"/>
        <v>7217.8036773855474</v>
      </c>
      <c r="R79" s="88"/>
      <c r="S79" s="88"/>
    </row>
    <row r="80" spans="2:19">
      <c r="B80" s="69"/>
      <c r="C80" s="70"/>
      <c r="D80" s="70"/>
      <c r="E80" s="70"/>
      <c r="F80" s="70"/>
      <c r="G80" s="70"/>
      <c r="H80" s="70"/>
      <c r="I80" s="70"/>
      <c r="J80" s="85"/>
      <c r="K80" s="85"/>
      <c r="L80" s="85"/>
      <c r="M80" s="85"/>
      <c r="N80" s="85"/>
      <c r="O80" s="85"/>
      <c r="P80" s="85"/>
      <c r="Q80" s="85"/>
    </row>
    <row r="81" spans="2:17">
      <c r="B81" s="89" t="s">
        <v>82</v>
      </c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</row>
    <row r="82" spans="2:17">
      <c r="B82" s="89"/>
      <c r="C82" s="70"/>
      <c r="D82" s="70"/>
      <c r="E82" s="70"/>
      <c r="F82" s="70"/>
      <c r="G82" s="70"/>
      <c r="H82" s="70"/>
      <c r="I82" s="70"/>
      <c r="J82" s="85"/>
      <c r="K82" s="85"/>
      <c r="L82" s="85"/>
      <c r="M82" s="85"/>
      <c r="N82" s="85"/>
      <c r="O82" s="85"/>
      <c r="P82" s="85"/>
      <c r="Q82" s="85"/>
    </row>
    <row r="83" spans="2:17">
      <c r="B83" s="69" t="s">
        <v>83</v>
      </c>
      <c r="C83" s="41">
        <v>0.626</v>
      </c>
      <c r="D83" s="41">
        <v>0.61599999999999999</v>
      </c>
      <c r="E83" s="41">
        <v>0.61099999999999999</v>
      </c>
      <c r="F83" s="41">
        <v>0.60599999999999998</v>
      </c>
      <c r="G83" s="41">
        <v>0.58099999999999996</v>
      </c>
      <c r="H83" s="299">
        <f>G83</f>
        <v>0.58099999999999996</v>
      </c>
      <c r="I83" s="299">
        <f t="shared" ref="I83:Q83" si="69">H83</f>
        <v>0.58099999999999996</v>
      </c>
      <c r="J83" s="299">
        <f t="shared" si="69"/>
        <v>0.58099999999999996</v>
      </c>
      <c r="K83" s="299">
        <f t="shared" si="69"/>
        <v>0.58099999999999996</v>
      </c>
      <c r="L83" s="299">
        <f t="shared" si="69"/>
        <v>0.58099999999999996</v>
      </c>
      <c r="M83" s="299">
        <f t="shared" si="69"/>
        <v>0.58099999999999996</v>
      </c>
      <c r="N83" s="299">
        <f t="shared" si="69"/>
        <v>0.58099999999999996</v>
      </c>
      <c r="O83" s="299">
        <f t="shared" si="69"/>
        <v>0.58099999999999996</v>
      </c>
      <c r="P83" s="299">
        <f t="shared" si="69"/>
        <v>0.58099999999999996</v>
      </c>
      <c r="Q83" s="299">
        <f t="shared" si="69"/>
        <v>0.58099999999999996</v>
      </c>
    </row>
    <row r="84" spans="2:17">
      <c r="B84" s="69" t="s">
        <v>84</v>
      </c>
      <c r="C84" s="41">
        <v>388.66699999999997</v>
      </c>
      <c r="D84" s="41">
        <v>422.50700000000001</v>
      </c>
      <c r="E84" s="41">
        <v>474.64499999999998</v>
      </c>
      <c r="F84" s="41">
        <v>575.36900000000003</v>
      </c>
      <c r="G84" s="41">
        <v>638.19000000000005</v>
      </c>
      <c r="H84" s="286">
        <f>'Supporting Schedules'!I101</f>
        <v>721.86852769531527</v>
      </c>
      <c r="I84" s="286">
        <f>'Supporting Schedules'!J101</f>
        <v>816.13347469489929</v>
      </c>
      <c r="J84" s="286">
        <f>'Supporting Schedules'!K101</f>
        <v>920.31323604776287</v>
      </c>
      <c r="K84" s="286">
        <f>'Supporting Schedules'!L101</f>
        <v>1033.4087314689025</v>
      </c>
      <c r="L84" s="286">
        <f>'Supporting Schedules'!M101</f>
        <v>1154.1698722366411</v>
      </c>
      <c r="M84" s="286">
        <f>'Supporting Schedules'!N101</f>
        <v>1281.1840597544629</v>
      </c>
      <c r="N84" s="286">
        <f>'Supporting Schedules'!O101</f>
        <v>1412.9714771264889</v>
      </c>
      <c r="O84" s="286">
        <f>'Supporting Schedules'!P101</f>
        <v>1548.0773397339462</v>
      </c>
      <c r="P84" s="286">
        <f>'Supporting Schedules'!Q101</f>
        <v>1685.1530848427365</v>
      </c>
      <c r="Q84" s="286">
        <f>'Supporting Schedules'!R101</f>
        <v>1823.0211673517606</v>
      </c>
    </row>
    <row r="85" spans="2:17">
      <c r="B85" s="69" t="s">
        <v>85</v>
      </c>
      <c r="C85" s="41">
        <v>2346.4279999999999</v>
      </c>
      <c r="D85" s="41">
        <v>2512.84</v>
      </c>
      <c r="E85" s="41">
        <v>2926.127</v>
      </c>
      <c r="F85" s="41">
        <v>3920.3620000000001</v>
      </c>
      <c r="G85" s="41">
        <v>4109.7169999999996</v>
      </c>
      <c r="H85" s="286">
        <f>'Supporting Schedules'!I90</f>
        <v>4441.8230676920693</v>
      </c>
      <c r="I85" s="286">
        <f>'Supporting Schedules'!J90</f>
        <v>4816.2085167311652</v>
      </c>
      <c r="J85" s="286">
        <f>'Supporting Schedules'!K90</f>
        <v>5230.1724400979019</v>
      </c>
      <c r="K85" s="286">
        <f>'Supporting Schedules'!L90</f>
        <v>5679.7266568740761</v>
      </c>
      <c r="L85" s="286">
        <f>'Supporting Schedules'!M90</f>
        <v>6159.8809975400954</v>
      </c>
      <c r="M85" s="286">
        <f>'Supporting Schedules'!N90</f>
        <v>6664.9965771612178</v>
      </c>
      <c r="N85" s="286">
        <f>'Supporting Schedules'!O90</f>
        <v>7189.1661852808229</v>
      </c>
      <c r="O85" s="286">
        <f>'Supporting Schedules'!P90</f>
        <v>7726.5825365948413</v>
      </c>
      <c r="P85" s="286">
        <f>'Supporting Schedules'!Q90</f>
        <v>8271.8623678722251</v>
      </c>
      <c r="Q85" s="286">
        <f>'Supporting Schedules'!R90</f>
        <v>8820.3050930109166</v>
      </c>
    </row>
    <row r="86" spans="2:17">
      <c r="B86" s="91" t="s">
        <v>86</v>
      </c>
      <c r="C86" s="58">
        <v>-177.155</v>
      </c>
      <c r="D86" s="58">
        <v>-195.917</v>
      </c>
      <c r="E86" s="58">
        <v>-252.584</v>
      </c>
      <c r="F86" s="58">
        <v>-264.25599999999997</v>
      </c>
      <c r="G86" s="58">
        <v>-424.44099999999997</v>
      </c>
      <c r="H86" s="307">
        <f>G86</f>
        <v>-424.44099999999997</v>
      </c>
      <c r="I86" s="307">
        <f t="shared" ref="I86:Q86" si="70">H86</f>
        <v>-424.44099999999997</v>
      </c>
      <c r="J86" s="307">
        <f t="shared" si="70"/>
        <v>-424.44099999999997</v>
      </c>
      <c r="K86" s="307">
        <f t="shared" si="70"/>
        <v>-424.44099999999997</v>
      </c>
      <c r="L86" s="307">
        <f t="shared" si="70"/>
        <v>-424.44099999999997</v>
      </c>
      <c r="M86" s="307">
        <f t="shared" si="70"/>
        <v>-424.44099999999997</v>
      </c>
      <c r="N86" s="307">
        <f t="shared" si="70"/>
        <v>-424.44099999999997</v>
      </c>
      <c r="O86" s="307">
        <f t="shared" si="70"/>
        <v>-424.44099999999997</v>
      </c>
      <c r="P86" s="307">
        <f t="shared" si="70"/>
        <v>-424.44099999999997</v>
      </c>
      <c r="Q86" s="307">
        <f t="shared" si="70"/>
        <v>-424.44099999999997</v>
      </c>
    </row>
    <row r="87" spans="2:17">
      <c r="B87" s="89" t="s">
        <v>87</v>
      </c>
      <c r="C87" s="81">
        <f t="shared" ref="C87:Q87" si="71">SUM(C83:C86)</f>
        <v>2558.5659999999998</v>
      </c>
      <c r="D87" s="81">
        <f t="shared" si="71"/>
        <v>2740.0460000000003</v>
      </c>
      <c r="E87" s="81">
        <f t="shared" si="71"/>
        <v>3148.799</v>
      </c>
      <c r="F87" s="81">
        <f t="shared" si="71"/>
        <v>4232.0810000000001</v>
      </c>
      <c r="G87" s="81">
        <f t="shared" si="71"/>
        <v>4324.0469999999996</v>
      </c>
      <c r="H87" s="82">
        <f t="shared" si="71"/>
        <v>4739.8315953873853</v>
      </c>
      <c r="I87" s="82">
        <f t="shared" si="71"/>
        <v>5208.4819914260652</v>
      </c>
      <c r="J87" s="82">
        <f t="shared" si="71"/>
        <v>5726.6256761456652</v>
      </c>
      <c r="K87" s="82">
        <f t="shared" si="71"/>
        <v>6289.2753883429787</v>
      </c>
      <c r="L87" s="82">
        <f t="shared" si="71"/>
        <v>6890.1908697767367</v>
      </c>
      <c r="M87" s="82">
        <f t="shared" si="71"/>
        <v>7522.3206369156806</v>
      </c>
      <c r="N87" s="82">
        <f t="shared" si="71"/>
        <v>8178.2776624073113</v>
      </c>
      <c r="O87" s="82">
        <f t="shared" si="71"/>
        <v>8850.7998763287869</v>
      </c>
      <c r="P87" s="82">
        <f t="shared" si="71"/>
        <v>9533.1554527149601</v>
      </c>
      <c r="Q87" s="82">
        <f t="shared" si="71"/>
        <v>10219.466260362677</v>
      </c>
    </row>
    <row r="88" spans="2:17">
      <c r="B88" s="69"/>
      <c r="C88" s="70"/>
      <c r="D88" s="70"/>
      <c r="E88" s="70"/>
      <c r="F88" s="70"/>
      <c r="G88" s="70"/>
      <c r="H88" s="70"/>
      <c r="I88" s="70"/>
      <c r="J88" s="85"/>
      <c r="K88" s="85"/>
      <c r="L88" s="85"/>
      <c r="M88" s="85"/>
      <c r="N88" s="85"/>
      <c r="O88" s="85"/>
      <c r="P88" s="85"/>
      <c r="Q88" s="85"/>
    </row>
    <row r="89" spans="2:17">
      <c r="B89" s="89" t="s">
        <v>222</v>
      </c>
      <c r="C89" s="92">
        <f t="shared" ref="C89:Q89" si="72">SUM(,C79,C87)</f>
        <v>4185.2150000000001</v>
      </c>
      <c r="D89" s="92">
        <f t="shared" si="72"/>
        <v>4942.478000000001</v>
      </c>
      <c r="E89" s="92">
        <f t="shared" si="72"/>
        <v>5607.0379999999996</v>
      </c>
      <c r="F89" s="92">
        <f t="shared" si="72"/>
        <v>7091.9410000000007</v>
      </c>
      <c r="G89" s="92">
        <f t="shared" si="72"/>
        <v>7603.2919999999995</v>
      </c>
      <c r="H89" s="93">
        <f t="shared" si="72"/>
        <v>8865.5397270685553</v>
      </c>
      <c r="I89" s="93">
        <f t="shared" si="72"/>
        <v>9867.33310820919</v>
      </c>
      <c r="J89" s="93">
        <f t="shared" si="72"/>
        <v>10892.197074970085</v>
      </c>
      <c r="K89" s="93">
        <f t="shared" si="72"/>
        <v>11917.456008239213</v>
      </c>
      <c r="L89" s="93">
        <f t="shared" si="72"/>
        <v>12934.295933504309</v>
      </c>
      <c r="M89" s="93">
        <f t="shared" si="72"/>
        <v>13927.437064020301</v>
      </c>
      <c r="N89" s="93">
        <f t="shared" si="72"/>
        <v>14872.328195319536</v>
      </c>
      <c r="O89" s="93">
        <f t="shared" si="72"/>
        <v>15773.677589283678</v>
      </c>
      <c r="P89" s="93">
        <f t="shared" si="72"/>
        <v>16628.430989455868</v>
      </c>
      <c r="Q89" s="93">
        <f t="shared" si="72"/>
        <v>17437.269937748224</v>
      </c>
    </row>
    <row r="90" spans="2:17">
      <c r="B90" s="69"/>
      <c r="C90" s="70"/>
      <c r="D90" s="70"/>
      <c r="E90" s="70"/>
      <c r="F90" s="70"/>
      <c r="G90" s="70"/>
      <c r="H90" s="70"/>
      <c r="I90" s="70"/>
      <c r="J90" s="85"/>
      <c r="K90" s="85"/>
      <c r="L90" s="85"/>
      <c r="M90" s="85"/>
      <c r="N90" s="85"/>
      <c r="O90" s="85"/>
      <c r="P90" s="85"/>
      <c r="Q90" s="85"/>
    </row>
    <row r="91" spans="2:17">
      <c r="B91" s="94" t="s">
        <v>88</v>
      </c>
      <c r="C91" s="95">
        <f t="shared" ref="C91:Q91" si="73">ROUND(C60-C89,0)</f>
        <v>0</v>
      </c>
      <c r="D91" s="95">
        <f t="shared" si="73"/>
        <v>0</v>
      </c>
      <c r="E91" s="95">
        <f t="shared" si="73"/>
        <v>0</v>
      </c>
      <c r="F91" s="95">
        <f t="shared" si="73"/>
        <v>0</v>
      </c>
      <c r="G91" s="95">
        <f t="shared" si="73"/>
        <v>0</v>
      </c>
      <c r="H91" s="95">
        <f t="shared" si="73"/>
        <v>0</v>
      </c>
      <c r="I91" s="95">
        <f t="shared" si="73"/>
        <v>0</v>
      </c>
      <c r="J91" s="95">
        <f t="shared" si="73"/>
        <v>0</v>
      </c>
      <c r="K91" s="95">
        <f t="shared" si="73"/>
        <v>0</v>
      </c>
      <c r="L91" s="95">
        <f t="shared" si="73"/>
        <v>0</v>
      </c>
      <c r="M91" s="95">
        <f t="shared" si="73"/>
        <v>0</v>
      </c>
      <c r="N91" s="95">
        <f t="shared" si="73"/>
        <v>0</v>
      </c>
      <c r="O91" s="95">
        <f t="shared" si="73"/>
        <v>0</v>
      </c>
      <c r="P91" s="95">
        <f t="shared" si="73"/>
        <v>0</v>
      </c>
      <c r="Q91" s="96">
        <f t="shared" si="73"/>
        <v>0</v>
      </c>
    </row>
    <row r="92" spans="2:17">
      <c r="B92" s="40"/>
      <c r="C92" s="97"/>
      <c r="D92" s="97"/>
      <c r="E92" s="97"/>
      <c r="F92" s="97"/>
      <c r="G92" s="97"/>
      <c r="H92" s="483">
        <v>-75</v>
      </c>
      <c r="I92" s="483">
        <v>-89</v>
      </c>
      <c r="J92" s="484">
        <v>-95</v>
      </c>
      <c r="K92" s="484">
        <v>-92</v>
      </c>
      <c r="L92" s="484">
        <v>-82</v>
      </c>
      <c r="M92" s="484">
        <v>-65</v>
      </c>
      <c r="N92" s="484">
        <v>-43</v>
      </c>
      <c r="O92" s="484">
        <v>-17</v>
      </c>
      <c r="P92" s="484">
        <v>12</v>
      </c>
      <c r="Q92" s="484">
        <v>43</v>
      </c>
    </row>
    <row r="93" spans="2:17">
      <c r="B93" s="215" t="s">
        <v>385</v>
      </c>
      <c r="C93" s="97"/>
      <c r="D93" s="97"/>
      <c r="E93" s="97"/>
      <c r="F93" s="97"/>
      <c r="G93" s="97"/>
      <c r="H93" s="97"/>
      <c r="I93" s="97"/>
      <c r="J93" s="98"/>
      <c r="K93" s="98"/>
      <c r="L93" s="98"/>
      <c r="M93" s="98"/>
      <c r="N93" s="98"/>
      <c r="O93" s="98"/>
      <c r="P93" s="98"/>
      <c r="Q93" s="98"/>
    </row>
    <row r="94" spans="2:17">
      <c r="B94" s="40" t="s">
        <v>386</v>
      </c>
      <c r="C94" s="303">
        <f>C49/C10</f>
        <v>3.1606048235310422E-2</v>
      </c>
      <c r="D94" s="303">
        <f>D49/D10</f>
        <v>1.900835547389268E-2</v>
      </c>
      <c r="E94" s="303">
        <f>E49/E10</f>
        <v>2.2888920288445202E-2</v>
      </c>
      <c r="F94" s="303">
        <f>F49/F10</f>
        <v>1.9100497979162263E-2</v>
      </c>
      <c r="G94" s="303">
        <f>G49/G10</f>
        <v>1.7212961009341974E-2</v>
      </c>
      <c r="H94" s="304">
        <v>1.7999999999999999E-2</v>
      </c>
      <c r="I94" s="305">
        <f>H94</f>
        <v>1.7999999999999999E-2</v>
      </c>
      <c r="J94" s="305">
        <f t="shared" ref="J94:Q94" si="74">I94</f>
        <v>1.7999999999999999E-2</v>
      </c>
      <c r="K94" s="305">
        <f t="shared" si="74"/>
        <v>1.7999999999999999E-2</v>
      </c>
      <c r="L94" s="305">
        <f t="shared" si="74"/>
        <v>1.7999999999999999E-2</v>
      </c>
      <c r="M94" s="305">
        <f t="shared" si="74"/>
        <v>1.7999999999999999E-2</v>
      </c>
      <c r="N94" s="305">
        <f t="shared" si="74"/>
        <v>1.7999999999999999E-2</v>
      </c>
      <c r="O94" s="305">
        <f t="shared" si="74"/>
        <v>1.7999999999999999E-2</v>
      </c>
      <c r="P94" s="305">
        <f t="shared" si="74"/>
        <v>1.7999999999999999E-2</v>
      </c>
      <c r="Q94" s="305">
        <f t="shared" si="74"/>
        <v>1.7999999999999999E-2</v>
      </c>
    </row>
    <row r="95" spans="2:17">
      <c r="B95" s="40" t="s">
        <v>387</v>
      </c>
      <c r="C95" s="303">
        <f>C50/C10</f>
        <v>2.8421271915924994E-2</v>
      </c>
      <c r="D95" s="303">
        <f>D50/D10</f>
        <v>3.0778933727284248E-2</v>
      </c>
      <c r="E95" s="303">
        <f>E50/E10</f>
        <v>2.9427466901620833E-2</v>
      </c>
      <c r="F95" s="303">
        <f>F50/F10</f>
        <v>1.9180441609027207E-2</v>
      </c>
      <c r="G95" s="303">
        <f>G50/G10</f>
        <v>2.3749150699566665E-2</v>
      </c>
      <c r="H95" s="304">
        <v>2.1999999999999999E-2</v>
      </c>
      <c r="I95" s="305">
        <f>H95</f>
        <v>2.1999999999999999E-2</v>
      </c>
      <c r="J95" s="305">
        <f t="shared" ref="J95:O95" si="75">I95</f>
        <v>2.1999999999999999E-2</v>
      </c>
      <c r="K95" s="305">
        <f t="shared" si="75"/>
        <v>2.1999999999999999E-2</v>
      </c>
      <c r="L95" s="305">
        <f t="shared" si="75"/>
        <v>2.1999999999999999E-2</v>
      </c>
      <c r="M95" s="305">
        <f t="shared" si="75"/>
        <v>2.1999999999999999E-2</v>
      </c>
      <c r="N95" s="305">
        <f t="shared" si="75"/>
        <v>2.1999999999999999E-2</v>
      </c>
      <c r="O95" s="305">
        <f t="shared" si="75"/>
        <v>2.1999999999999999E-2</v>
      </c>
      <c r="P95" s="305">
        <v>2.5000000000000001E-2</v>
      </c>
      <c r="Q95" s="305">
        <v>2.8000000000000001E-2</v>
      </c>
    </row>
    <row r="96" spans="2:17">
      <c r="B96" s="40" t="s">
        <v>388</v>
      </c>
      <c r="C96" s="303">
        <f>C55/C10</f>
        <v>0.1669366650014687</v>
      </c>
      <c r="D96" s="303">
        <f>D55/D10</f>
        <v>0.12843090762947451</v>
      </c>
      <c r="E96" s="303">
        <f>E55/E10</f>
        <v>0.11952615110403553</v>
      </c>
      <c r="F96" s="303">
        <f>F55/F10</f>
        <v>0.13157016566108182</v>
      </c>
      <c r="G96" s="303">
        <f>G55/G10</f>
        <v>0.13375889180011646</v>
      </c>
      <c r="H96" s="304">
        <v>0.13200000000000001</v>
      </c>
      <c r="I96" s="305">
        <f>H96</f>
        <v>0.13200000000000001</v>
      </c>
      <c r="J96" s="305">
        <f t="shared" ref="J96:Q96" si="76">I96</f>
        <v>0.13200000000000001</v>
      </c>
      <c r="K96" s="305">
        <f t="shared" si="76"/>
        <v>0.13200000000000001</v>
      </c>
      <c r="L96" s="305">
        <f t="shared" si="76"/>
        <v>0.13200000000000001</v>
      </c>
      <c r="M96" s="305">
        <f t="shared" si="76"/>
        <v>0.13200000000000001</v>
      </c>
      <c r="N96" s="305">
        <f t="shared" si="76"/>
        <v>0.13200000000000001</v>
      </c>
      <c r="O96" s="305">
        <f t="shared" si="76"/>
        <v>0.13200000000000001</v>
      </c>
      <c r="P96" s="305">
        <f t="shared" si="76"/>
        <v>0.13200000000000001</v>
      </c>
      <c r="Q96" s="305">
        <f t="shared" si="76"/>
        <v>0.13200000000000001</v>
      </c>
    </row>
    <row r="97" spans="2:17">
      <c r="B97" s="40" t="s">
        <v>407</v>
      </c>
      <c r="C97" s="303">
        <f>C59/C10</f>
        <v>2.422283756550328E-2</v>
      </c>
      <c r="D97" s="303">
        <f>D59/D10</f>
        <v>2.1113966221681782E-2</v>
      </c>
      <c r="E97" s="303">
        <f>E59/E10</f>
        <v>1.9239831537270491E-2</v>
      </c>
      <c r="F97" s="303">
        <f>F59/F10</f>
        <v>1.9407277760347501E-2</v>
      </c>
      <c r="G97" s="303">
        <f>G59/G10</f>
        <v>2.2462992979116417E-2</v>
      </c>
      <c r="H97" s="304">
        <v>2.1000000000000001E-2</v>
      </c>
      <c r="I97" s="305">
        <f>H97</f>
        <v>2.1000000000000001E-2</v>
      </c>
      <c r="J97" s="305">
        <f t="shared" ref="J97:Q97" si="77">I97</f>
        <v>2.1000000000000001E-2</v>
      </c>
      <c r="K97" s="305">
        <f t="shared" si="77"/>
        <v>2.1000000000000001E-2</v>
      </c>
      <c r="L97" s="305">
        <f t="shared" si="77"/>
        <v>2.1000000000000001E-2</v>
      </c>
      <c r="M97" s="305">
        <f t="shared" si="77"/>
        <v>2.1000000000000001E-2</v>
      </c>
      <c r="N97" s="305">
        <f t="shared" si="77"/>
        <v>2.1000000000000001E-2</v>
      </c>
      <c r="O97" s="305">
        <f t="shared" si="77"/>
        <v>2.1000000000000001E-2</v>
      </c>
      <c r="P97" s="305">
        <f t="shared" si="77"/>
        <v>2.1000000000000001E-2</v>
      </c>
      <c r="Q97" s="305">
        <f t="shared" si="77"/>
        <v>2.1000000000000001E-2</v>
      </c>
    </row>
    <row r="98" spans="2:17">
      <c r="B98" s="40"/>
      <c r="C98" s="97"/>
      <c r="D98" s="97"/>
      <c r="E98" s="97"/>
      <c r="F98" s="97"/>
      <c r="G98" s="97"/>
      <c r="H98" s="97"/>
      <c r="I98" s="97"/>
      <c r="J98" s="98"/>
      <c r="K98" s="98"/>
      <c r="L98" s="98"/>
      <c r="M98" s="98"/>
      <c r="N98" s="98"/>
      <c r="O98" s="98"/>
      <c r="P98" s="98"/>
      <c r="Q98" s="98"/>
    </row>
    <row r="99" spans="2:17">
      <c r="B99" s="40" t="s">
        <v>389</v>
      </c>
      <c r="C99" s="303">
        <f>C70/C10</f>
        <v>3.5404880506710888E-2</v>
      </c>
      <c r="D99" s="303">
        <f>D70/D10</f>
        <v>3.3275970064972807E-2</v>
      </c>
      <c r="E99" s="303">
        <f>E70/E10</f>
        <v>3.1006404276520932E-2</v>
      </c>
      <c r="F99" s="303">
        <f>F70/F10</f>
        <v>3.1860915133131613E-2</v>
      </c>
      <c r="G99" s="303">
        <f>G70/G10</f>
        <v>2.9122433941568129E-2</v>
      </c>
      <c r="H99" s="304">
        <v>3.1E-2</v>
      </c>
      <c r="I99" s="305">
        <f t="shared" ref="I99:I104" si="78">H99</f>
        <v>3.1E-2</v>
      </c>
      <c r="J99" s="305">
        <f t="shared" ref="J99:Q99" si="79">I99</f>
        <v>3.1E-2</v>
      </c>
      <c r="K99" s="305">
        <f t="shared" si="79"/>
        <v>3.1E-2</v>
      </c>
      <c r="L99" s="305">
        <f t="shared" si="79"/>
        <v>3.1E-2</v>
      </c>
      <c r="M99" s="305">
        <f t="shared" si="79"/>
        <v>3.1E-2</v>
      </c>
      <c r="N99" s="305">
        <f t="shared" si="79"/>
        <v>3.1E-2</v>
      </c>
      <c r="O99" s="305">
        <f t="shared" si="79"/>
        <v>3.1E-2</v>
      </c>
      <c r="P99" s="305">
        <f t="shared" si="79"/>
        <v>3.1E-2</v>
      </c>
      <c r="Q99" s="305">
        <f t="shared" si="79"/>
        <v>3.1E-2</v>
      </c>
    </row>
    <row r="100" spans="2:17">
      <c r="B100" s="40" t="s">
        <v>390</v>
      </c>
      <c r="C100" s="303">
        <f>-C66/C12</f>
        <v>0.11706920110966165</v>
      </c>
      <c r="D100" s="303">
        <f>-D66/D12</f>
        <v>0.12492201814767988</v>
      </c>
      <c r="E100" s="303">
        <f>-E66/E12</f>
        <v>0.11033813151260111</v>
      </c>
      <c r="F100" s="303">
        <f>-F66/F12</f>
        <v>8.6924199344966785E-2</v>
      </c>
      <c r="G100" s="303">
        <f>-G66/G12</f>
        <v>0.12958586528895855</v>
      </c>
      <c r="H100" s="304">
        <v>0.109</v>
      </c>
      <c r="I100" s="305">
        <f t="shared" si="78"/>
        <v>0.109</v>
      </c>
      <c r="J100" s="305">
        <f t="shared" ref="J100:Q100" si="80">I100</f>
        <v>0.109</v>
      </c>
      <c r="K100" s="305">
        <f t="shared" si="80"/>
        <v>0.109</v>
      </c>
      <c r="L100" s="305">
        <f t="shared" si="80"/>
        <v>0.109</v>
      </c>
      <c r="M100" s="305">
        <f t="shared" si="80"/>
        <v>0.109</v>
      </c>
      <c r="N100" s="305">
        <f t="shared" si="80"/>
        <v>0.109</v>
      </c>
      <c r="O100" s="305">
        <f t="shared" si="80"/>
        <v>0.109</v>
      </c>
      <c r="P100" s="305">
        <f t="shared" si="80"/>
        <v>0.109</v>
      </c>
      <c r="Q100" s="305">
        <f t="shared" si="80"/>
        <v>0.109</v>
      </c>
    </row>
    <row r="101" spans="2:17">
      <c r="B101" s="40" t="s">
        <v>391</v>
      </c>
      <c r="C101" s="303">
        <f>-C67/C18</f>
        <v>8.0901651519605614E-2</v>
      </c>
      <c r="D101" s="303">
        <f>-D67/D18</f>
        <v>9.2097918503717235E-2</v>
      </c>
      <c r="E101" s="303">
        <f>-E67/E18</f>
        <v>8.9998828626624547E-2</v>
      </c>
      <c r="F101" s="303">
        <f>-F67/F18</f>
        <v>9.5993250948275918E-2</v>
      </c>
      <c r="G101" s="303">
        <f>-G67/G18</f>
        <v>5.4365336400187224E-2</v>
      </c>
      <c r="H101" s="304">
        <v>7.8E-2</v>
      </c>
      <c r="I101" s="305">
        <f t="shared" si="78"/>
        <v>7.8E-2</v>
      </c>
      <c r="J101" s="305">
        <f t="shared" ref="J101:Q101" si="81">I101</f>
        <v>7.8E-2</v>
      </c>
      <c r="K101" s="305">
        <f t="shared" si="81"/>
        <v>7.8E-2</v>
      </c>
      <c r="L101" s="305">
        <f t="shared" si="81"/>
        <v>7.8E-2</v>
      </c>
      <c r="M101" s="305">
        <f t="shared" si="81"/>
        <v>7.8E-2</v>
      </c>
      <c r="N101" s="305">
        <f t="shared" si="81"/>
        <v>7.8E-2</v>
      </c>
      <c r="O101" s="305">
        <f t="shared" si="81"/>
        <v>7.8E-2</v>
      </c>
      <c r="P101" s="305">
        <f t="shared" si="81"/>
        <v>7.8E-2</v>
      </c>
      <c r="Q101" s="305">
        <f t="shared" si="81"/>
        <v>7.8E-2</v>
      </c>
    </row>
    <row r="102" spans="2:17">
      <c r="B102" s="40" t="s">
        <v>392</v>
      </c>
      <c r="C102" s="303">
        <f>-C75/C18</f>
        <v>0.39315650747699044</v>
      </c>
      <c r="D102" s="303">
        <f>-D75/D18</f>
        <v>0.31103165165116581</v>
      </c>
      <c r="E102" s="303">
        <f>-E75/E18</f>
        <v>0.31273928383754973</v>
      </c>
      <c r="F102" s="303">
        <f>-F75/F18</f>
        <v>0.33969324311833976</v>
      </c>
      <c r="G102" s="303">
        <f>-G75/G18</f>
        <v>0.34569536987103106</v>
      </c>
      <c r="H102" s="304">
        <v>0.34300000000000003</v>
      </c>
      <c r="I102" s="305">
        <f t="shared" si="78"/>
        <v>0.34300000000000003</v>
      </c>
      <c r="J102" s="305">
        <f t="shared" ref="J102:Q104" si="82">I102</f>
        <v>0.34300000000000003</v>
      </c>
      <c r="K102" s="305">
        <f t="shared" si="82"/>
        <v>0.34300000000000003</v>
      </c>
      <c r="L102" s="305">
        <f t="shared" si="82"/>
        <v>0.34300000000000003</v>
      </c>
      <c r="M102" s="305">
        <f t="shared" si="82"/>
        <v>0.34300000000000003</v>
      </c>
      <c r="N102" s="305">
        <f t="shared" si="82"/>
        <v>0.34300000000000003</v>
      </c>
      <c r="O102" s="305">
        <f t="shared" si="82"/>
        <v>0.34300000000000003</v>
      </c>
      <c r="P102" s="305">
        <f t="shared" si="82"/>
        <v>0.34300000000000003</v>
      </c>
      <c r="Q102" s="305">
        <f t="shared" si="82"/>
        <v>0.34300000000000003</v>
      </c>
    </row>
    <row r="103" spans="2:17">
      <c r="B103" s="40" t="s">
        <v>411</v>
      </c>
      <c r="C103" s="303">
        <f>-C71/C18</f>
        <v>1.4666224985285919E-2</v>
      </c>
      <c r="D103" s="303">
        <f>-D71/D18</f>
        <v>2.1951125241232269E-2</v>
      </c>
      <c r="E103" s="303">
        <f>-E71/E18</f>
        <v>1.392773823032682E-2</v>
      </c>
      <c r="F103" s="303">
        <f>-F71/F18</f>
        <v>1.1865002481442169E-2</v>
      </c>
      <c r="G103" s="303">
        <f>-G71/G18</f>
        <v>9.9899558231640144E-3</v>
      </c>
      <c r="H103" s="304">
        <v>1.0999999999999999E-2</v>
      </c>
      <c r="I103" s="305">
        <f t="shared" si="78"/>
        <v>1.0999999999999999E-2</v>
      </c>
      <c r="J103" s="305">
        <f t="shared" si="82"/>
        <v>1.0999999999999999E-2</v>
      </c>
      <c r="K103" s="305">
        <f t="shared" si="82"/>
        <v>1.0999999999999999E-2</v>
      </c>
      <c r="L103" s="305">
        <f t="shared" si="82"/>
        <v>1.0999999999999999E-2</v>
      </c>
      <c r="M103" s="305">
        <f t="shared" si="82"/>
        <v>1.0999999999999999E-2</v>
      </c>
      <c r="N103" s="305">
        <f t="shared" si="82"/>
        <v>1.0999999999999999E-2</v>
      </c>
      <c r="O103" s="305">
        <f t="shared" si="82"/>
        <v>1.0999999999999999E-2</v>
      </c>
      <c r="P103" s="305">
        <f t="shared" si="82"/>
        <v>1.0999999999999999E-2</v>
      </c>
      <c r="Q103" s="305">
        <f t="shared" si="82"/>
        <v>1.0999999999999999E-2</v>
      </c>
    </row>
    <row r="104" spans="2:17">
      <c r="B104" s="40" t="s">
        <v>412</v>
      </c>
      <c r="C104" s="303">
        <f>-C78/C18</f>
        <v>5.5786098596460054E-3</v>
      </c>
      <c r="D104" s="303">
        <f>-D78/D18</f>
        <v>6.1194570509933779E-3</v>
      </c>
      <c r="E104" s="303">
        <f>-E78/E18</f>
        <v>7.2675920878986968E-3</v>
      </c>
      <c r="F104" s="303">
        <f>-F78/F18</f>
        <v>8.595562604460474E-3</v>
      </c>
      <c r="G104" s="303">
        <f>-G78/G18</f>
        <v>1.0841544671602728E-2</v>
      </c>
      <c r="H104" s="304">
        <v>0.02</v>
      </c>
      <c r="I104" s="305">
        <f t="shared" si="78"/>
        <v>0.02</v>
      </c>
      <c r="J104" s="305">
        <f t="shared" si="82"/>
        <v>0.02</v>
      </c>
      <c r="K104" s="305">
        <f t="shared" si="82"/>
        <v>0.02</v>
      </c>
      <c r="L104" s="305">
        <f t="shared" si="82"/>
        <v>0.02</v>
      </c>
      <c r="M104" s="305">
        <f t="shared" si="82"/>
        <v>0.02</v>
      </c>
      <c r="N104" s="305">
        <f t="shared" si="82"/>
        <v>0.02</v>
      </c>
      <c r="O104" s="305">
        <f t="shared" si="82"/>
        <v>0.02</v>
      </c>
      <c r="P104" s="305">
        <f t="shared" si="82"/>
        <v>0.02</v>
      </c>
      <c r="Q104" s="305">
        <f t="shared" si="82"/>
        <v>0.02</v>
      </c>
    </row>
    <row r="105" spans="2:17">
      <c r="J105" s="99"/>
      <c r="K105" s="99"/>
      <c r="L105" s="99"/>
      <c r="M105" s="99"/>
      <c r="N105" s="99"/>
      <c r="O105" s="99"/>
      <c r="P105" s="99"/>
      <c r="Q105" s="99"/>
    </row>
    <row r="106" spans="2:17">
      <c r="J106" s="99"/>
      <c r="K106" s="99"/>
      <c r="L106" s="99"/>
      <c r="M106" s="99"/>
      <c r="N106" s="99"/>
      <c r="O106" s="99"/>
      <c r="P106" s="99"/>
      <c r="Q106" s="99"/>
    </row>
    <row r="107" spans="2:17" s="34" customFormat="1">
      <c r="B107" s="32" t="s">
        <v>89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</row>
    <row r="108" spans="2:17">
      <c r="B108" s="40"/>
      <c r="C108" s="100"/>
      <c r="D108" s="100"/>
      <c r="E108" s="100"/>
      <c r="F108" s="101"/>
      <c r="G108" s="101"/>
      <c r="H108" s="101"/>
      <c r="I108" s="101"/>
      <c r="J108" s="102"/>
      <c r="K108" s="102"/>
      <c r="L108" s="102"/>
      <c r="M108" s="102"/>
      <c r="N108" s="102"/>
      <c r="O108" s="102"/>
      <c r="P108" s="102"/>
      <c r="Q108" s="102"/>
    </row>
    <row r="109" spans="2:17">
      <c r="B109" s="215" t="s">
        <v>92</v>
      </c>
      <c r="C109" s="100"/>
      <c r="D109" s="100"/>
      <c r="E109" s="100"/>
      <c r="F109" s="101"/>
      <c r="G109" s="101"/>
      <c r="H109" s="101"/>
      <c r="I109" s="101"/>
      <c r="J109" s="102"/>
      <c r="K109" s="102"/>
      <c r="L109" s="102"/>
      <c r="M109" s="102"/>
      <c r="N109" s="102"/>
      <c r="O109" s="102"/>
      <c r="P109" s="102"/>
      <c r="Q109" s="102"/>
    </row>
    <row r="110" spans="2:17">
      <c r="B110" s="89" t="s">
        <v>90</v>
      </c>
      <c r="C110" s="480">
        <f t="shared" ref="C110:Q110" si="83">C35</f>
        <v>588.9129999999999</v>
      </c>
      <c r="D110" s="217">
        <f t="shared" si="83"/>
        <v>975.32199999999989</v>
      </c>
      <c r="E110" s="217">
        <f t="shared" si="83"/>
        <v>854.8</v>
      </c>
      <c r="F110" s="217">
        <f t="shared" si="83"/>
        <v>1550.1900000000005</v>
      </c>
      <c r="G110" s="217">
        <f t="shared" si="83"/>
        <v>1814.6160000000007</v>
      </c>
      <c r="H110" s="481">
        <f t="shared" si="83"/>
        <v>1467.675372128492</v>
      </c>
      <c r="I110" s="481">
        <f t="shared" si="83"/>
        <v>1653.6954440334489</v>
      </c>
      <c r="J110" s="481">
        <f t="shared" si="83"/>
        <v>1827.8321131555983</v>
      </c>
      <c r="K110" s="481">
        <f t="shared" si="83"/>
        <v>1984.4216546344965</v>
      </c>
      <c r="L110" s="481">
        <f t="shared" si="83"/>
        <v>2119.0555367996126</v>
      </c>
      <c r="M110" s="481">
        <f t="shared" si="83"/>
        <v>2228.8795530772741</v>
      </c>
      <c r="N110" s="481">
        <f t="shared" si="83"/>
        <v>2312.7131295971026</v>
      </c>
      <c r="O110" s="481">
        <f t="shared" si="83"/>
        <v>2370.9959152723668</v>
      </c>
      <c r="P110" s="481">
        <f t="shared" si="83"/>
        <v>2405.5935148966801</v>
      </c>
      <c r="Q110" s="481">
        <f t="shared" si="83"/>
        <v>2419.509559189733</v>
      </c>
    </row>
    <row r="111" spans="2:17">
      <c r="B111" s="69" t="s">
        <v>248</v>
      </c>
      <c r="C111" s="100"/>
      <c r="D111" s="100"/>
      <c r="E111" s="100"/>
      <c r="F111" s="101"/>
      <c r="G111" s="101"/>
      <c r="H111" s="103"/>
      <c r="I111" s="103"/>
      <c r="J111" s="104"/>
      <c r="K111" s="104"/>
      <c r="L111" s="104"/>
      <c r="M111" s="104"/>
      <c r="N111" s="104"/>
      <c r="O111" s="104"/>
      <c r="P111" s="104"/>
      <c r="Q111" s="104"/>
    </row>
    <row r="112" spans="2:17">
      <c r="B112" s="78" t="s">
        <v>58</v>
      </c>
      <c r="C112" s="216">
        <f t="shared" ref="C112:Q112" si="84">C38</f>
        <v>185.47800000000001</v>
      </c>
      <c r="D112" s="216">
        <f t="shared" si="84"/>
        <v>224.20599999999999</v>
      </c>
      <c r="E112" s="216">
        <f t="shared" si="84"/>
        <v>291.791</v>
      </c>
      <c r="F112" s="216">
        <f t="shared" si="84"/>
        <v>379.38400000000001</v>
      </c>
      <c r="G112" s="216">
        <f t="shared" si="84"/>
        <v>446.524</v>
      </c>
      <c r="H112" s="309">
        <f t="shared" si="84"/>
        <v>523.50139799999999</v>
      </c>
      <c r="I112" s="309">
        <f t="shared" si="84"/>
        <v>601.53500575941405</v>
      </c>
      <c r="J112" s="309">
        <f t="shared" si="84"/>
        <v>685.98614714899304</v>
      </c>
      <c r="K112" s="309">
        <f t="shared" si="84"/>
        <v>773.09251835732675</v>
      </c>
      <c r="L112" s="309">
        <f t="shared" si="84"/>
        <v>859.30403126767146</v>
      </c>
      <c r="M112" s="309">
        <f t="shared" si="84"/>
        <v>941.41852828314711</v>
      </c>
      <c r="N112" s="309">
        <f t="shared" si="84"/>
        <v>1016.7248087673036</v>
      </c>
      <c r="O112" s="309">
        <f t="shared" si="84"/>
        <v>1083.1224359449727</v>
      </c>
      <c r="P112" s="309">
        <f t="shared" si="84"/>
        <v>1139.1978909250222</v>
      </c>
      <c r="Q112" s="309">
        <f t="shared" si="84"/>
        <v>1184.2476764346325</v>
      </c>
    </row>
    <row r="113" spans="2:17">
      <c r="B113" s="78" t="s">
        <v>270</v>
      </c>
      <c r="C113" s="218">
        <v>0</v>
      </c>
      <c r="D113" s="218">
        <v>0</v>
      </c>
      <c r="E113" s="218">
        <v>62.927999999999997</v>
      </c>
      <c r="F113" s="218">
        <v>23.709</v>
      </c>
      <c r="G113" s="218">
        <v>0</v>
      </c>
      <c r="H113" s="103">
        <f>G113</f>
        <v>0</v>
      </c>
      <c r="I113" s="103">
        <f t="shared" ref="I113:Q115" si="85">H113</f>
        <v>0</v>
      </c>
      <c r="J113" s="103">
        <f t="shared" si="85"/>
        <v>0</v>
      </c>
      <c r="K113" s="103">
        <f t="shared" si="85"/>
        <v>0</v>
      </c>
      <c r="L113" s="103">
        <f t="shared" si="85"/>
        <v>0</v>
      </c>
      <c r="M113" s="103">
        <f t="shared" si="85"/>
        <v>0</v>
      </c>
      <c r="N113" s="103">
        <f t="shared" si="85"/>
        <v>0</v>
      </c>
      <c r="O113" s="103">
        <f t="shared" si="85"/>
        <v>0</v>
      </c>
      <c r="P113" s="103">
        <f t="shared" si="85"/>
        <v>0</v>
      </c>
      <c r="Q113" s="103">
        <f t="shared" si="85"/>
        <v>0</v>
      </c>
    </row>
    <row r="114" spans="2:17">
      <c r="B114" s="78" t="s">
        <v>249</v>
      </c>
      <c r="C114" s="218">
        <v>0</v>
      </c>
      <c r="D114" s="218">
        <v>0</v>
      </c>
      <c r="E114" s="218">
        <v>407.91300000000001</v>
      </c>
      <c r="F114" s="60">
        <v>74.501000000000005</v>
      </c>
      <c r="G114" s="60">
        <v>0</v>
      </c>
      <c r="H114" s="103">
        <f>G114</f>
        <v>0</v>
      </c>
      <c r="I114" s="103">
        <f t="shared" si="85"/>
        <v>0</v>
      </c>
      <c r="J114" s="103">
        <f t="shared" si="85"/>
        <v>0</v>
      </c>
      <c r="K114" s="103">
        <f t="shared" si="85"/>
        <v>0</v>
      </c>
      <c r="L114" s="103">
        <f t="shared" si="85"/>
        <v>0</v>
      </c>
      <c r="M114" s="103">
        <f t="shared" si="85"/>
        <v>0</v>
      </c>
      <c r="N114" s="103">
        <f t="shared" si="85"/>
        <v>0</v>
      </c>
      <c r="O114" s="103">
        <f t="shared" si="85"/>
        <v>0</v>
      </c>
      <c r="P114" s="103">
        <f t="shared" si="85"/>
        <v>0</v>
      </c>
      <c r="Q114" s="103">
        <f t="shared" si="85"/>
        <v>0</v>
      </c>
    </row>
    <row r="115" spans="2:17">
      <c r="B115" s="78" t="s">
        <v>228</v>
      </c>
      <c r="C115" s="216">
        <f>-C22</f>
        <v>0</v>
      </c>
      <c r="D115" s="216">
        <f>-D22</f>
        <v>0</v>
      </c>
      <c r="E115" s="216">
        <f>-E22</f>
        <v>-10.18</v>
      </c>
      <c r="F115" s="216">
        <f>-F22</f>
        <v>0</v>
      </c>
      <c r="G115" s="216">
        <f>-G22</f>
        <v>0</v>
      </c>
      <c r="H115" s="103">
        <f>G115</f>
        <v>0</v>
      </c>
      <c r="I115" s="103">
        <f t="shared" si="85"/>
        <v>0</v>
      </c>
      <c r="J115" s="103">
        <f t="shared" si="85"/>
        <v>0</v>
      </c>
      <c r="K115" s="103">
        <f t="shared" si="85"/>
        <v>0</v>
      </c>
      <c r="L115" s="103">
        <f t="shared" si="85"/>
        <v>0</v>
      </c>
      <c r="M115" s="103">
        <f t="shared" si="85"/>
        <v>0</v>
      </c>
      <c r="N115" s="103">
        <f t="shared" si="85"/>
        <v>0</v>
      </c>
      <c r="O115" s="103">
        <f t="shared" si="85"/>
        <v>0</v>
      </c>
      <c r="P115" s="103">
        <f t="shared" si="85"/>
        <v>0</v>
      </c>
      <c r="Q115" s="103">
        <f t="shared" si="85"/>
        <v>0</v>
      </c>
    </row>
    <row r="116" spans="2:17">
      <c r="B116" s="78" t="s">
        <v>250</v>
      </c>
      <c r="C116" s="218">
        <v>50.796999999999997</v>
      </c>
      <c r="D116" s="218">
        <v>69.137</v>
      </c>
      <c r="E116" s="218">
        <v>78.075000000000003</v>
      </c>
      <c r="F116" s="60">
        <v>93.56</v>
      </c>
      <c r="G116" s="60">
        <v>90.010999999999996</v>
      </c>
      <c r="H116" s="315">
        <f>'Supporting Schedules'!I95</f>
        <v>119.53361099330763</v>
      </c>
      <c r="I116" s="315">
        <f>'Supporting Schedules'!J95</f>
        <v>134.66420999940561</v>
      </c>
      <c r="J116" s="315">
        <f>'Supporting Schedules'!K95</f>
        <v>148.82823050409078</v>
      </c>
      <c r="K116" s="315">
        <f>'Supporting Schedules'!L95</f>
        <v>161.56499345877074</v>
      </c>
      <c r="L116" s="315">
        <f>'Supporting Schedules'!M95</f>
        <v>172.51591538248354</v>
      </c>
      <c r="M116" s="315">
        <f>'Supporting Schedules'!N95</f>
        <v>181.44883931117383</v>
      </c>
      <c r="N116" s="315">
        <f>'Supporting Schedules'!O95</f>
        <v>188.26773910289444</v>
      </c>
      <c r="O116" s="315">
        <f>'Supporting Schedules'!P95</f>
        <v>193.00837515351026</v>
      </c>
      <c r="P116" s="315">
        <f>'Supporting Schedules'!Q95</f>
        <v>195.82249301255754</v>
      </c>
      <c r="Q116" s="315">
        <f>'Supporting Schedules'!R95</f>
        <v>196.95440358432029</v>
      </c>
    </row>
    <row r="117" spans="2:17">
      <c r="B117" s="78" t="s">
        <v>251</v>
      </c>
      <c r="C117" s="218">
        <v>-13.696</v>
      </c>
      <c r="D117" s="218">
        <v>-18.699000000000002</v>
      </c>
      <c r="E117" s="218">
        <v>-23.337</v>
      </c>
      <c r="F117" s="60">
        <v>-28.547000000000001</v>
      </c>
      <c r="G117" s="60">
        <v>-36.231000000000002</v>
      </c>
      <c r="H117" s="103">
        <f t="shared" ref="H117:Q117" si="86">G70-H70</f>
        <v>-62.202194079253672</v>
      </c>
      <c r="I117" s="103">
        <f t="shared" si="86"/>
        <v>-46.904856918903761</v>
      </c>
      <c r="J117" s="103">
        <f t="shared" si="86"/>
        <v>-43.90846356452397</v>
      </c>
      <c r="K117" s="103">
        <f t="shared" si="86"/>
        <v>-39.483965159507932</v>
      </c>
      <c r="L117" s="103">
        <f t="shared" si="86"/>
        <v>-33.947857963509705</v>
      </c>
      <c r="M117" s="103">
        <f t="shared" si="86"/>
        <v>-27.692064178939859</v>
      </c>
      <c r="N117" s="103">
        <f t="shared" si="86"/>
        <v>-21.138589354333931</v>
      </c>
      <c r="O117" s="103">
        <f t="shared" si="86"/>
        <v>-14.695971756908989</v>
      </c>
      <c r="P117" s="103">
        <f t="shared" si="86"/>
        <v>-8.7237653630465957</v>
      </c>
      <c r="Q117" s="103">
        <f t="shared" si="86"/>
        <v>-3.5089227724645298</v>
      </c>
    </row>
    <row r="118" spans="2:17">
      <c r="B118" s="78" t="s">
        <v>252</v>
      </c>
      <c r="C118" s="218">
        <v>4.4850000000000003</v>
      </c>
      <c r="D118" s="218">
        <v>15.191000000000001</v>
      </c>
      <c r="E118" s="218">
        <v>-38.649000000000001</v>
      </c>
      <c r="F118" s="60">
        <v>32.527000000000001</v>
      </c>
      <c r="G118" s="60">
        <v>-47.762999999999998</v>
      </c>
      <c r="H118" s="103">
        <v>0</v>
      </c>
      <c r="I118" s="103">
        <f>H118</f>
        <v>0</v>
      </c>
      <c r="J118" s="103">
        <f t="shared" ref="J118:Q118" si="87">I118</f>
        <v>0</v>
      </c>
      <c r="K118" s="103">
        <f t="shared" si="87"/>
        <v>0</v>
      </c>
      <c r="L118" s="103">
        <f t="shared" si="87"/>
        <v>0</v>
      </c>
      <c r="M118" s="103">
        <f t="shared" si="87"/>
        <v>0</v>
      </c>
      <c r="N118" s="103">
        <f t="shared" si="87"/>
        <v>0</v>
      </c>
      <c r="O118" s="103">
        <f t="shared" si="87"/>
        <v>0</v>
      </c>
      <c r="P118" s="103">
        <f t="shared" si="87"/>
        <v>0</v>
      </c>
      <c r="Q118" s="103">
        <f t="shared" si="87"/>
        <v>0</v>
      </c>
    </row>
    <row r="119" spans="2:17">
      <c r="B119" s="78" t="s">
        <v>253</v>
      </c>
      <c r="C119" s="218">
        <v>34.908000000000001</v>
      </c>
      <c r="D119" s="218">
        <v>-5.18</v>
      </c>
      <c r="E119" s="218">
        <v>3.0419999999999998</v>
      </c>
      <c r="F119" s="60">
        <v>-28.382999999999999</v>
      </c>
      <c r="G119" s="60">
        <v>57.451000000000001</v>
      </c>
      <c r="H119" s="103">
        <f t="shared" ref="H119:Q119" si="88">H157*H10</f>
        <v>53.790124946988428</v>
      </c>
      <c r="I119" s="103">
        <f t="shared" si="88"/>
        <v>60.598894499732523</v>
      </c>
      <c r="J119" s="103">
        <f t="shared" si="88"/>
        <v>66.972703726840848</v>
      </c>
      <c r="K119" s="103">
        <f t="shared" si="88"/>
        <v>72.704247056446832</v>
      </c>
      <c r="L119" s="103">
        <f t="shared" si="88"/>
        <v>77.632161922117589</v>
      </c>
      <c r="M119" s="103">
        <f t="shared" si="88"/>
        <v>81.651977690028218</v>
      </c>
      <c r="N119" s="103">
        <f t="shared" si="88"/>
        <v>84.720482596302489</v>
      </c>
      <c r="O119" s="103">
        <f t="shared" si="88"/>
        <v>86.853768819079605</v>
      </c>
      <c r="P119" s="103">
        <f t="shared" si="88"/>
        <v>88.120121855650879</v>
      </c>
      <c r="Q119" s="103">
        <f t="shared" si="88"/>
        <v>88.629481612944119</v>
      </c>
    </row>
    <row r="120" spans="2:17">
      <c r="B120" s="69" t="s">
        <v>254</v>
      </c>
      <c r="C120" s="218"/>
      <c r="D120" s="218"/>
      <c r="E120" s="218"/>
      <c r="F120" s="60"/>
      <c r="G120" s="60"/>
      <c r="H120" s="103"/>
      <c r="I120" s="103"/>
      <c r="J120" s="104"/>
      <c r="K120" s="104"/>
      <c r="L120" s="104"/>
      <c r="M120" s="104"/>
      <c r="N120" s="104"/>
      <c r="O120" s="104"/>
      <c r="P120" s="104"/>
      <c r="Q120" s="104"/>
    </row>
    <row r="121" spans="2:17">
      <c r="B121" s="78" t="s">
        <v>271</v>
      </c>
      <c r="C121" s="218">
        <v>0</v>
      </c>
      <c r="D121" s="218">
        <v>0</v>
      </c>
      <c r="E121" s="218">
        <v>-58.987000000000002</v>
      </c>
      <c r="F121" s="60">
        <v>6.58</v>
      </c>
      <c r="G121" s="60">
        <v>1.6259999999999999</v>
      </c>
      <c r="H121" s="103">
        <f>G47-H47</f>
        <v>-25.599696333301978</v>
      </c>
      <c r="I121" s="103">
        <f t="shared" ref="I121:Q121" si="89">I47-H47</f>
        <v>18.451950007436579</v>
      </c>
      <c r="J121" s="103">
        <f t="shared" si="89"/>
        <v>17.273195737420906</v>
      </c>
      <c r="K121" s="103">
        <f t="shared" si="89"/>
        <v>15.532637749609734</v>
      </c>
      <c r="L121" s="103">
        <f t="shared" si="89"/>
        <v>13.354782833796094</v>
      </c>
      <c r="M121" s="103">
        <f t="shared" si="89"/>
        <v>10.893809669134498</v>
      </c>
      <c r="N121" s="103">
        <f t="shared" si="89"/>
        <v>8.3157314533178237</v>
      </c>
      <c r="O121" s="103">
        <f t="shared" si="89"/>
        <v>5.7812634763607207</v>
      </c>
      <c r="P121" s="103">
        <f t="shared" si="89"/>
        <v>3.4318510476186646</v>
      </c>
      <c r="Q121" s="103">
        <f t="shared" si="89"/>
        <v>1.3803787460521164</v>
      </c>
    </row>
    <row r="122" spans="2:17">
      <c r="B122" s="78" t="s">
        <v>255</v>
      </c>
      <c r="C122" s="218">
        <v>-96.548000000000002</v>
      </c>
      <c r="D122" s="218">
        <v>-323.60899999999998</v>
      </c>
      <c r="E122" s="218">
        <v>-573.43799999999999</v>
      </c>
      <c r="F122" s="60">
        <v>66.584000000000003</v>
      </c>
      <c r="G122" s="60">
        <v>-156.08500000000001</v>
      </c>
      <c r="H122" s="103">
        <f>G48-H48</f>
        <v>-119.06436157202916</v>
      </c>
      <c r="I122" s="103">
        <f t="shared" ref="I122:Q122" si="90">H48-I48</f>
        <v>-197.61023079524216</v>
      </c>
      <c r="J122" s="103">
        <f t="shared" si="90"/>
        <v>-184.98642121117177</v>
      </c>
      <c r="K122" s="103">
        <f t="shared" si="90"/>
        <v>-166.34600296024132</v>
      </c>
      <c r="L122" s="103">
        <f t="shared" si="90"/>
        <v>-143.02237524723341</v>
      </c>
      <c r="M122" s="103">
        <f t="shared" si="90"/>
        <v>-116.66670688406975</v>
      </c>
      <c r="N122" s="103">
        <f t="shared" si="90"/>
        <v>-89.056907863890501</v>
      </c>
      <c r="O122" s="103">
        <f t="shared" si="90"/>
        <v>-61.91415050394744</v>
      </c>
      <c r="P122" s="103">
        <f t="shared" si="90"/>
        <v>-36.753236232565996</v>
      </c>
      <c r="Q122" s="103">
        <f t="shared" si="90"/>
        <v>-14.78309677200923</v>
      </c>
    </row>
    <row r="123" spans="2:17">
      <c r="B123" s="78" t="s">
        <v>233</v>
      </c>
      <c r="C123" s="218">
        <v>-53.966000000000001</v>
      </c>
      <c r="D123" s="218">
        <v>20.108000000000001</v>
      </c>
      <c r="E123" s="218">
        <v>-66.713999999999999</v>
      </c>
      <c r="F123" s="60">
        <v>1.9079999999999999</v>
      </c>
      <c r="G123" s="60">
        <v>-2.0310000000000001</v>
      </c>
      <c r="H123" s="103">
        <f>G49-H49</f>
        <v>-32.907499787953725</v>
      </c>
      <c r="I123" s="103">
        <f t="shared" ref="I123:Q123" si="91">H49-I49</f>
        <v>-27.235078210976383</v>
      </c>
      <c r="J123" s="103">
        <f t="shared" si="91"/>
        <v>-25.495236908433299</v>
      </c>
      <c r="K123" s="103">
        <f t="shared" si="91"/>
        <v>-22.926173318423935</v>
      </c>
      <c r="L123" s="103">
        <f t="shared" si="91"/>
        <v>-19.711659462683031</v>
      </c>
      <c r="M123" s="103">
        <f t="shared" si="91"/>
        <v>-16.079263071642515</v>
      </c>
      <c r="N123" s="103">
        <f t="shared" si="91"/>
        <v>-12.274019625097083</v>
      </c>
      <c r="O123" s="103">
        <f t="shared" si="91"/>
        <v>-8.5331448911084635</v>
      </c>
      <c r="P123" s="103">
        <f t="shared" si="91"/>
        <v>-5.0654121462850981</v>
      </c>
      <c r="Q123" s="103">
        <f t="shared" si="91"/>
        <v>-2.0374390291729583</v>
      </c>
    </row>
    <row r="124" spans="2:17">
      <c r="B124" s="78" t="s">
        <v>256</v>
      </c>
      <c r="C124" s="218">
        <v>-70.998999999999995</v>
      </c>
      <c r="D124" s="218">
        <v>-82.403999999999996</v>
      </c>
      <c r="E124" s="218">
        <v>-54.832999999999998</v>
      </c>
      <c r="F124" s="60">
        <v>40.587000000000003</v>
      </c>
      <c r="G124" s="60">
        <v>-71.789000000000001</v>
      </c>
      <c r="H124" s="103">
        <f>G50-H50</f>
        <v>-11.514944185276761</v>
      </c>
      <c r="I124" s="103">
        <f t="shared" ref="I124:Q124" si="92">H50-I50</f>
        <v>-33.287317813415541</v>
      </c>
      <c r="J124" s="103">
        <f t="shared" si="92"/>
        <v>-31.160845110307378</v>
      </c>
      <c r="K124" s="103">
        <f t="shared" si="92"/>
        <v>-28.020878500295964</v>
      </c>
      <c r="L124" s="103">
        <f t="shared" si="92"/>
        <v>-24.092028232168104</v>
      </c>
      <c r="M124" s="103">
        <f t="shared" si="92"/>
        <v>-19.652432643118686</v>
      </c>
      <c r="N124" s="103">
        <f t="shared" si="92"/>
        <v>-15.001579541785304</v>
      </c>
      <c r="O124" s="103">
        <f t="shared" si="92"/>
        <v>-10.429399311354757</v>
      </c>
      <c r="P124" s="103">
        <f t="shared" si="92"/>
        <v>-64.937807193671347</v>
      </c>
      <c r="Q124" s="103">
        <f t="shared" si="92"/>
        <v>-61.916097504702918</v>
      </c>
    </row>
    <row r="125" spans="2:17">
      <c r="B125" s="78" t="s">
        <v>257</v>
      </c>
      <c r="C125" s="218">
        <v>-49.055999999999997</v>
      </c>
      <c r="D125" s="218">
        <v>-17.556000000000001</v>
      </c>
      <c r="E125" s="218">
        <v>-36.518000000000001</v>
      </c>
      <c r="F125" s="60">
        <v>-53.28</v>
      </c>
      <c r="G125" s="60">
        <v>-73.204999999999998</v>
      </c>
      <c r="H125" s="103">
        <f t="shared" ref="H125:Q125" si="93">G59-H59</f>
        <v>-13.179583085946035</v>
      </c>
      <c r="I125" s="103">
        <f t="shared" si="93"/>
        <v>-31.774257912805751</v>
      </c>
      <c r="J125" s="103">
        <f t="shared" si="93"/>
        <v>-29.744443059838829</v>
      </c>
      <c r="K125" s="103">
        <f t="shared" si="93"/>
        <v>-26.747202204828</v>
      </c>
      <c r="L125" s="103">
        <f t="shared" si="93"/>
        <v>-22.996936039796822</v>
      </c>
      <c r="M125" s="103">
        <f t="shared" si="93"/>
        <v>-18.759140250249629</v>
      </c>
      <c r="N125" s="103">
        <f t="shared" si="93"/>
        <v>-14.319689562613291</v>
      </c>
      <c r="O125" s="103">
        <f t="shared" si="93"/>
        <v>-9.9553357062931696</v>
      </c>
      <c r="P125" s="103">
        <f t="shared" si="93"/>
        <v>-5.9096475039993379</v>
      </c>
      <c r="Q125" s="103">
        <f t="shared" si="93"/>
        <v>-2.3770122007017562</v>
      </c>
    </row>
    <row r="126" spans="2:17">
      <c r="B126" s="78" t="s">
        <v>258</v>
      </c>
      <c r="C126" s="218">
        <v>82.662999999999997</v>
      </c>
      <c r="D126" s="218">
        <v>117.655</v>
      </c>
      <c r="E126" s="218">
        <v>-107.28</v>
      </c>
      <c r="F126" s="60">
        <v>177.36699999999999</v>
      </c>
      <c r="G126" s="60">
        <v>-57.043999999999997</v>
      </c>
      <c r="H126" s="103">
        <f t="shared" ref="H126:Q126" si="94">H65-G65</f>
        <v>60.631808314743409</v>
      </c>
      <c r="I126" s="103">
        <f t="shared" si="94"/>
        <v>42.029441683605512</v>
      </c>
      <c r="J126" s="103">
        <f t="shared" si="94"/>
        <v>39.344501401903187</v>
      </c>
      <c r="K126" s="103">
        <f t="shared" si="94"/>
        <v>35.379897096333309</v>
      </c>
      <c r="L126" s="103">
        <f t="shared" si="94"/>
        <v>30.41922756586888</v>
      </c>
      <c r="M126" s="103">
        <f t="shared" si="94"/>
        <v>24.813677579695252</v>
      </c>
      <c r="N126" s="103">
        <f t="shared" si="94"/>
        <v>18.941388310335071</v>
      </c>
      <c r="O126" s="103">
        <f t="shared" si="94"/>
        <v>13.168433473932737</v>
      </c>
      <c r="P126" s="103">
        <f t="shared" si="94"/>
        <v>7.8169940529090809</v>
      </c>
      <c r="Q126" s="103">
        <f t="shared" si="94"/>
        <v>3.1441960326743583</v>
      </c>
    </row>
    <row r="127" spans="2:17">
      <c r="B127" s="78" t="s">
        <v>259</v>
      </c>
      <c r="C127" s="218">
        <f>SUM(8.046+91.115)</f>
        <v>99.161000000000001</v>
      </c>
      <c r="D127" s="218">
        <v>103.878</v>
      </c>
      <c r="E127" s="218">
        <v>65.364000000000004</v>
      </c>
      <c r="F127" s="60">
        <v>-71.733999999999995</v>
      </c>
      <c r="G127" s="60">
        <v>193.13900000000001</v>
      </c>
      <c r="H127" s="103">
        <f t="shared" ref="H127:Q127" si="95">H66-G66</f>
        <v>-27.873125190562178</v>
      </c>
      <c r="I127" s="103">
        <f t="shared" si="95"/>
        <v>58.481760565957757</v>
      </c>
      <c r="J127" s="103">
        <f t="shared" si="95"/>
        <v>55.574994197451019</v>
      </c>
      <c r="K127" s="103">
        <f t="shared" si="95"/>
        <v>51.732508192591467</v>
      </c>
      <c r="L127" s="103">
        <f t="shared" si="95"/>
        <v>43.50771243617578</v>
      </c>
      <c r="M127" s="103">
        <f t="shared" si="95"/>
        <v>34.407750407169715</v>
      </c>
      <c r="N127" s="103">
        <f t="shared" si="95"/>
        <v>29.135795030063832</v>
      </c>
      <c r="O127" s="103">
        <f t="shared" si="95"/>
        <v>20.255789717071252</v>
      </c>
      <c r="P127" s="103">
        <f t="shared" si="95"/>
        <v>12.024162788137232</v>
      </c>
      <c r="Q127" s="103">
        <f t="shared" si="95"/>
        <v>4.8364274910278482</v>
      </c>
    </row>
    <row r="128" spans="2:17">
      <c r="B128" s="78" t="s">
        <v>241</v>
      </c>
      <c r="C128" s="218">
        <v>-6.6920000000000002</v>
      </c>
      <c r="D128" s="218">
        <v>75.272999999999996</v>
      </c>
      <c r="E128" s="218">
        <v>47.253999999999998</v>
      </c>
      <c r="F128" s="60">
        <v>70.326999999999998</v>
      </c>
      <c r="G128" s="60">
        <v>-112.11</v>
      </c>
      <c r="H128" s="103">
        <f t="shared" ref="H128:Q128" si="96">H67-G67</f>
        <v>189.12716394557134</v>
      </c>
      <c r="I128" s="103">
        <f t="shared" si="96"/>
        <v>56.106164716444312</v>
      </c>
      <c r="J128" s="103">
        <f t="shared" si="96"/>
        <v>51.928606844568606</v>
      </c>
      <c r="K128" s="103">
        <f t="shared" si="96"/>
        <v>45.438210350046404</v>
      </c>
      <c r="L128" s="103">
        <f t="shared" si="96"/>
        <v>39.762309176119288</v>
      </c>
      <c r="M128" s="103">
        <f t="shared" si="96"/>
        <v>33.209689589944333</v>
      </c>
      <c r="N128" s="103">
        <f t="shared" si="96"/>
        <v>23.296089248434441</v>
      </c>
      <c r="O128" s="103">
        <f t="shared" si="96"/>
        <v>16.195909003323663</v>
      </c>
      <c r="P128" s="103">
        <f t="shared" si="96"/>
        <v>9.6141522536491948</v>
      </c>
      <c r="Q128" s="103">
        <f t="shared" si="96"/>
        <v>3.867059277370231</v>
      </c>
    </row>
    <row r="129" spans="2:19">
      <c r="B129" s="78" t="s">
        <v>260</v>
      </c>
      <c r="C129" s="218">
        <v>-24.125</v>
      </c>
      <c r="D129" s="218">
        <v>120.77800000000001</v>
      </c>
      <c r="E129" s="218">
        <v>35.985999999999997</v>
      </c>
      <c r="F129" s="60">
        <v>-173.196</v>
      </c>
      <c r="G129" s="60">
        <v>157.20500000000001</v>
      </c>
      <c r="H129" s="103">
        <f t="shared" ref="H129:Q129" si="97">(H69+H76)-(G69+G76)</f>
        <v>0</v>
      </c>
      <c r="I129" s="103">
        <f t="shared" si="97"/>
        <v>0</v>
      </c>
      <c r="J129" s="103">
        <f t="shared" si="97"/>
        <v>0</v>
      </c>
      <c r="K129" s="103">
        <f t="shared" si="97"/>
        <v>0</v>
      </c>
      <c r="L129" s="103">
        <f t="shared" si="97"/>
        <v>0</v>
      </c>
      <c r="M129" s="103">
        <f t="shared" si="97"/>
        <v>0</v>
      </c>
      <c r="N129" s="103">
        <f t="shared" si="97"/>
        <v>0</v>
      </c>
      <c r="O129" s="103">
        <f t="shared" si="97"/>
        <v>0</v>
      </c>
      <c r="P129" s="103">
        <f t="shared" si="97"/>
        <v>0</v>
      </c>
      <c r="Q129" s="103">
        <f t="shared" si="97"/>
        <v>0</v>
      </c>
    </row>
    <row r="130" spans="2:19">
      <c r="B130" s="78" t="s">
        <v>242</v>
      </c>
      <c r="C130" s="218">
        <v>47.962000000000003</v>
      </c>
      <c r="D130" s="218">
        <v>71.441000000000003</v>
      </c>
      <c r="E130" s="218">
        <v>68.266000000000005</v>
      </c>
      <c r="F130" s="60">
        <v>84.314999999999998</v>
      </c>
      <c r="G130" s="60">
        <v>42.41</v>
      </c>
      <c r="H130" s="103">
        <f t="shared" ref="H130:Q130" si="98">H70-G70</f>
        <v>62.202194079253672</v>
      </c>
      <c r="I130" s="103">
        <f t="shared" si="98"/>
        <v>46.904856918903761</v>
      </c>
      <c r="J130" s="103">
        <f t="shared" si="98"/>
        <v>43.90846356452397</v>
      </c>
      <c r="K130" s="103">
        <f t="shared" si="98"/>
        <v>39.483965159507932</v>
      </c>
      <c r="L130" s="103">
        <f t="shared" si="98"/>
        <v>33.947857963509705</v>
      </c>
      <c r="M130" s="103">
        <f t="shared" si="98"/>
        <v>27.692064178939859</v>
      </c>
      <c r="N130" s="103">
        <f t="shared" si="98"/>
        <v>21.138589354333931</v>
      </c>
      <c r="O130" s="103">
        <f t="shared" si="98"/>
        <v>14.695971756908989</v>
      </c>
      <c r="P130" s="103">
        <f t="shared" si="98"/>
        <v>8.7237653630465957</v>
      </c>
      <c r="Q130" s="103">
        <f t="shared" si="98"/>
        <v>3.5089227724645298</v>
      </c>
    </row>
    <row r="131" spans="2:19">
      <c r="B131" s="78" t="s">
        <v>261</v>
      </c>
      <c r="C131" s="218">
        <v>13.266999999999999</v>
      </c>
      <c r="D131" s="218">
        <v>13.494</v>
      </c>
      <c r="E131" s="218">
        <v>23.905000000000001</v>
      </c>
      <c r="F131" s="60">
        <v>37.534999999999997</v>
      </c>
      <c r="G131" s="60">
        <v>23.501000000000001</v>
      </c>
      <c r="H131" s="103">
        <f t="shared" ref="H131:Q131" si="99">((H68+H75)-(G68+G75)-(H55-G55))</f>
        <v>268.91464557206996</v>
      </c>
      <c r="I131" s="103">
        <f t="shared" si="99"/>
        <v>46.999355911050543</v>
      </c>
      <c r="J131" s="103">
        <f t="shared" si="99"/>
        <v>41.387649180297103</v>
      </c>
      <c r="K131" s="103">
        <f t="shared" si="99"/>
        <v>31.686346306762061</v>
      </c>
      <c r="L131" s="103">
        <f t="shared" si="99"/>
        <v>30.300036343002375</v>
      </c>
      <c r="M131" s="103">
        <f t="shared" si="99"/>
        <v>28.122885286812561</v>
      </c>
      <c r="N131" s="103">
        <f t="shared" si="99"/>
        <v>12.433581880223755</v>
      </c>
      <c r="O131" s="103">
        <f t="shared" si="99"/>
        <v>8.6440757746922827</v>
      </c>
      <c r="P131" s="103">
        <f t="shared" si="99"/>
        <v>5.1312625041873616</v>
      </c>
      <c r="Q131" s="103">
        <f t="shared" si="99"/>
        <v>2.063925736551937</v>
      </c>
    </row>
    <row r="132" spans="2:19">
      <c r="B132" s="78" t="s">
        <v>262</v>
      </c>
      <c r="C132" s="218">
        <v>10.784000000000001</v>
      </c>
      <c r="D132" s="218">
        <v>30.073</v>
      </c>
      <c r="E132" s="218">
        <v>-2.9249999999999998</v>
      </c>
      <c r="F132" s="60">
        <v>12.23</v>
      </c>
      <c r="G132" s="60">
        <v>2.488</v>
      </c>
      <c r="H132" s="103">
        <f t="shared" ref="H132:Q132" si="100">(H71+H78)-(G71+G78)</f>
        <v>78.082654901445011</v>
      </c>
      <c r="I132" s="103">
        <f t="shared" si="100"/>
        <v>22.298603925766344</v>
      </c>
      <c r="J132" s="103">
        <f t="shared" si="100"/>
        <v>20.638292463866975</v>
      </c>
      <c r="K132" s="103">
        <f t="shared" si="100"/>
        <v>18.058775908351834</v>
      </c>
      <c r="L132" s="103">
        <f t="shared" si="100"/>
        <v>15.802969031534587</v>
      </c>
      <c r="M132" s="103">
        <f t="shared" si="100"/>
        <v>13.198722785747066</v>
      </c>
      <c r="N132" s="103">
        <f t="shared" si="100"/>
        <v>9.2587021371982985</v>
      </c>
      <c r="O132" s="103">
        <f t="shared" si="100"/>
        <v>6.4368356295260867</v>
      </c>
      <c r="P132" s="103">
        <f t="shared" si="100"/>
        <v>3.8210092290144075</v>
      </c>
      <c r="Q132" s="103">
        <f t="shared" si="100"/>
        <v>1.5369081743394304</v>
      </c>
    </row>
    <row r="133" spans="2:19">
      <c r="B133" s="80" t="s">
        <v>92</v>
      </c>
      <c r="C133" s="320">
        <f t="shared" ref="C133:Q133" si="101">SUM(C110:C132)</f>
        <v>803.3359999999999</v>
      </c>
      <c r="D133" s="320">
        <f t="shared" si="101"/>
        <v>1389.1079999999995</v>
      </c>
      <c r="E133" s="320">
        <f t="shared" si="101"/>
        <v>966.46299999999974</v>
      </c>
      <c r="F133" s="320">
        <f t="shared" si="101"/>
        <v>2296.1640000000007</v>
      </c>
      <c r="G133" s="320">
        <f t="shared" si="101"/>
        <v>2272.7130000000006</v>
      </c>
      <c r="H133" s="82">
        <f t="shared" si="101"/>
        <v>2531.1175686475485</v>
      </c>
      <c r="I133" s="82">
        <f t="shared" si="101"/>
        <v>2404.9539463698225</v>
      </c>
      <c r="J133" s="82">
        <f t="shared" si="101"/>
        <v>2684.3794880712794</v>
      </c>
      <c r="K133" s="82">
        <f t="shared" si="101"/>
        <v>2945.5715321269472</v>
      </c>
      <c r="L133" s="82">
        <f t="shared" si="101"/>
        <v>3191.831683776501</v>
      </c>
      <c r="M133" s="82">
        <f t="shared" si="101"/>
        <v>3406.8878908310462</v>
      </c>
      <c r="N133" s="82">
        <f t="shared" si="101"/>
        <v>3573.1552515297908</v>
      </c>
      <c r="O133" s="82">
        <f t="shared" si="101"/>
        <v>3713.630771852133</v>
      </c>
      <c r="P133" s="82">
        <f t="shared" si="101"/>
        <v>3757.9073494889044</v>
      </c>
      <c r="Q133" s="82">
        <f t="shared" si="101"/>
        <v>3825.0563707730571</v>
      </c>
      <c r="R133" s="105"/>
      <c r="S133" s="105"/>
    </row>
    <row r="134" spans="2:19">
      <c r="B134" s="89"/>
      <c r="C134" s="105"/>
      <c r="D134" s="105"/>
      <c r="E134" s="105"/>
      <c r="F134" s="105"/>
      <c r="G134" s="105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105"/>
      <c r="S134" s="105"/>
    </row>
    <row r="135" spans="2:19">
      <c r="B135" s="86" t="s">
        <v>95</v>
      </c>
      <c r="C135" s="105"/>
      <c r="D135" s="105"/>
      <c r="E135" s="105"/>
      <c r="F135" s="105"/>
      <c r="G135" s="105"/>
      <c r="H135" s="105"/>
      <c r="I135" s="105"/>
      <c r="J135" s="110"/>
      <c r="K135" s="110"/>
      <c r="L135" s="110"/>
      <c r="M135" s="110"/>
      <c r="N135" s="110"/>
      <c r="O135" s="110"/>
      <c r="P135" s="110"/>
      <c r="Q135" s="110"/>
    </row>
    <row r="136" spans="2:19">
      <c r="B136" s="69" t="s">
        <v>93</v>
      </c>
      <c r="C136" s="105">
        <v>-229.226</v>
      </c>
      <c r="D136" s="105">
        <v>-394.50200000000001</v>
      </c>
      <c r="E136" s="105">
        <v>-638.65700000000004</v>
      </c>
      <c r="F136" s="105">
        <v>-651.86500000000001</v>
      </c>
      <c r="G136" s="105">
        <v>-689.23199999999997</v>
      </c>
      <c r="H136" s="106">
        <f>-'Supporting Schedules'!I78</f>
        <v>-788.92183255583041</v>
      </c>
      <c r="I136" s="106">
        <f>-'Supporting Schedules'!J78</f>
        <v>-888.78378599607709</v>
      </c>
      <c r="J136" s="106">
        <f>-'Supporting Schedules'!K78</f>
        <v>-982.2663213269991</v>
      </c>
      <c r="K136" s="106">
        <f>-'Supporting Schedules'!L78</f>
        <v>-1066.3289568278869</v>
      </c>
      <c r="L136" s="106">
        <f>-'Supporting Schedules'!M78</f>
        <v>-1138.6050415243915</v>
      </c>
      <c r="M136" s="106">
        <f>-'Supporting Schedules'!N78</f>
        <v>-1197.5623394537474</v>
      </c>
      <c r="N136" s="106">
        <f>-'Supporting Schedules'!O78</f>
        <v>-1242.5670780791033</v>
      </c>
      <c r="O136" s="106">
        <f>-'Supporting Schedules'!P78</f>
        <v>-1273.8552760131677</v>
      </c>
      <c r="P136" s="106">
        <f>-'Supporting Schedules'!Q78</f>
        <v>-1292.4284538828797</v>
      </c>
      <c r="Q136" s="106">
        <f>-'Supporting Schedules'!R78</f>
        <v>-1299.8990636565138</v>
      </c>
    </row>
    <row r="137" spans="2:19">
      <c r="B137" s="69" t="s">
        <v>263</v>
      </c>
      <c r="C137" s="105">
        <v>-14.606999999999999</v>
      </c>
      <c r="D137" s="105">
        <v>-23.388999999999999</v>
      </c>
      <c r="E137" s="105">
        <v>47.804000000000002</v>
      </c>
      <c r="F137" s="105">
        <v>-1.609</v>
      </c>
      <c r="G137" s="105">
        <v>50.213000000000001</v>
      </c>
      <c r="H137" s="106">
        <v>0</v>
      </c>
      <c r="I137" s="316">
        <f>H137</f>
        <v>0</v>
      </c>
      <c r="J137" s="316">
        <f t="shared" ref="J137:Q137" si="102">I137</f>
        <v>0</v>
      </c>
      <c r="K137" s="316">
        <f t="shared" si="102"/>
        <v>0</v>
      </c>
      <c r="L137" s="316">
        <f t="shared" si="102"/>
        <v>0</v>
      </c>
      <c r="M137" s="316">
        <f t="shared" si="102"/>
        <v>0</v>
      </c>
      <c r="N137" s="316">
        <f t="shared" si="102"/>
        <v>0</v>
      </c>
      <c r="O137" s="316">
        <f t="shared" si="102"/>
        <v>0</v>
      </c>
      <c r="P137" s="316">
        <f t="shared" si="102"/>
        <v>0</v>
      </c>
      <c r="Q137" s="316">
        <f t="shared" si="102"/>
        <v>0</v>
      </c>
    </row>
    <row r="138" spans="2:19">
      <c r="B138" s="69" t="s">
        <v>264</v>
      </c>
      <c r="C138" s="105">
        <v>-452.58100000000002</v>
      </c>
      <c r="D138" s="105">
        <v>0</v>
      </c>
      <c r="E138" s="105">
        <v>0</v>
      </c>
      <c r="F138" s="105">
        <v>0</v>
      </c>
      <c r="G138" s="105">
        <v>-154.14599999999999</v>
      </c>
      <c r="H138" s="106">
        <v>0</v>
      </c>
      <c r="I138" s="316">
        <f>H138</f>
        <v>0</v>
      </c>
      <c r="J138" s="316">
        <f t="shared" ref="J138:Q138" si="103">I138</f>
        <v>0</v>
      </c>
      <c r="K138" s="316">
        <f t="shared" si="103"/>
        <v>0</v>
      </c>
      <c r="L138" s="316">
        <f t="shared" si="103"/>
        <v>0</v>
      </c>
      <c r="M138" s="316">
        <f t="shared" si="103"/>
        <v>0</v>
      </c>
      <c r="N138" s="316">
        <f t="shared" si="103"/>
        <v>0</v>
      </c>
      <c r="O138" s="316">
        <f t="shared" si="103"/>
        <v>0</v>
      </c>
      <c r="P138" s="316">
        <f t="shared" si="103"/>
        <v>0</v>
      </c>
      <c r="Q138" s="316">
        <f t="shared" si="103"/>
        <v>0</v>
      </c>
    </row>
    <row r="139" spans="2:19">
      <c r="B139" s="107" t="s">
        <v>94</v>
      </c>
      <c r="C139" s="108">
        <v>0.88200000000000001</v>
      </c>
      <c r="D139" s="108">
        <v>-10</v>
      </c>
      <c r="E139" s="108">
        <v>20.916</v>
      </c>
      <c r="F139" s="108">
        <v>-0.65800000000000003</v>
      </c>
      <c r="G139" s="108">
        <v>-5.0090000000000003</v>
      </c>
      <c r="H139" s="109">
        <v>0</v>
      </c>
      <c r="I139" s="317">
        <f>H139</f>
        <v>0</v>
      </c>
      <c r="J139" s="317">
        <f t="shared" ref="J139:Q139" si="104">I139</f>
        <v>0</v>
      </c>
      <c r="K139" s="317">
        <f t="shared" si="104"/>
        <v>0</v>
      </c>
      <c r="L139" s="317">
        <f t="shared" si="104"/>
        <v>0</v>
      </c>
      <c r="M139" s="317">
        <f t="shared" si="104"/>
        <v>0</v>
      </c>
      <c r="N139" s="317">
        <f t="shared" si="104"/>
        <v>0</v>
      </c>
      <c r="O139" s="317">
        <f t="shared" si="104"/>
        <v>0</v>
      </c>
      <c r="P139" s="317">
        <f t="shared" si="104"/>
        <v>0</v>
      </c>
      <c r="Q139" s="317">
        <f t="shared" si="104"/>
        <v>0</v>
      </c>
    </row>
    <row r="140" spans="2:19">
      <c r="B140" s="89" t="s">
        <v>95</v>
      </c>
      <c r="C140" s="319">
        <f>SUM(C136:C139)</f>
        <v>-695.53200000000004</v>
      </c>
      <c r="D140" s="319">
        <f t="shared" ref="D140:Q140" si="105">SUM(D136:D139)</f>
        <v>-427.89100000000002</v>
      </c>
      <c r="E140" s="319">
        <f t="shared" si="105"/>
        <v>-569.93700000000001</v>
      </c>
      <c r="F140" s="319">
        <f t="shared" si="105"/>
        <v>-654.13200000000006</v>
      </c>
      <c r="G140" s="319">
        <f t="shared" si="105"/>
        <v>-798.17399999999998</v>
      </c>
      <c r="H140" s="82">
        <f t="shared" si="105"/>
        <v>-788.92183255583041</v>
      </c>
      <c r="I140" s="82">
        <f t="shared" si="105"/>
        <v>-888.78378599607709</v>
      </c>
      <c r="J140" s="82">
        <f t="shared" si="105"/>
        <v>-982.2663213269991</v>
      </c>
      <c r="K140" s="82">
        <f t="shared" si="105"/>
        <v>-1066.3289568278869</v>
      </c>
      <c r="L140" s="82">
        <f t="shared" si="105"/>
        <v>-1138.6050415243915</v>
      </c>
      <c r="M140" s="82">
        <f t="shared" si="105"/>
        <v>-1197.5623394537474</v>
      </c>
      <c r="N140" s="82">
        <f t="shared" si="105"/>
        <v>-1242.5670780791033</v>
      </c>
      <c r="O140" s="82">
        <f t="shared" si="105"/>
        <v>-1273.8552760131677</v>
      </c>
      <c r="P140" s="82">
        <f t="shared" si="105"/>
        <v>-1292.4284538828797</v>
      </c>
      <c r="Q140" s="82">
        <f t="shared" si="105"/>
        <v>-1299.8990636565138</v>
      </c>
    </row>
    <row r="141" spans="2:19">
      <c r="B141" s="89"/>
      <c r="C141" s="105"/>
      <c r="D141" s="105"/>
      <c r="E141" s="105"/>
      <c r="F141" s="105"/>
      <c r="G141" s="105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</row>
    <row r="142" spans="2:19">
      <c r="B142" s="214" t="s">
        <v>97</v>
      </c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</row>
    <row r="143" spans="2:19">
      <c r="B143" s="111" t="s">
        <v>410</v>
      </c>
      <c r="C143" s="70">
        <f>SUM(C144:C145)</f>
        <v>-17.125</v>
      </c>
      <c r="D143" s="70">
        <f t="shared" ref="D143:G143" si="106">SUM(D144:D145)</f>
        <v>-31.614999999999998</v>
      </c>
      <c r="E143" s="70">
        <f t="shared" si="106"/>
        <v>-23.454000000000001</v>
      </c>
      <c r="F143" s="70">
        <f t="shared" si="106"/>
        <v>9.8560000000000016</v>
      </c>
      <c r="G143" s="70">
        <f t="shared" si="106"/>
        <v>-15.596999999999998</v>
      </c>
      <c r="H143" s="318">
        <f>'Supporting Schedules'!I99</f>
        <v>-20.918381923828836</v>
      </c>
      <c r="I143" s="318">
        <f>'Supporting Schedules'!J99</f>
        <v>-23.566236749895982</v>
      </c>
      <c r="J143" s="318">
        <f>'Supporting Schedules'!K99</f>
        <v>-26.044940338215884</v>
      </c>
      <c r="K143" s="318">
        <f>'Supporting Schedules'!L99</f>
        <v>-28.273873855284879</v>
      </c>
      <c r="L143" s="318">
        <f>'Supporting Schedules'!M99</f>
        <v>-30.190285191934617</v>
      </c>
      <c r="M143" s="318">
        <f>'Supporting Schedules'!N99</f>
        <v>-31.753546879455417</v>
      </c>
      <c r="N143" s="318">
        <f>'Supporting Schedules'!O99</f>
        <v>-32.946854343006528</v>
      </c>
      <c r="O143" s="318">
        <f>'Supporting Schedules'!P99</f>
        <v>-33.776465651864292</v>
      </c>
      <c r="P143" s="318">
        <f>'Supporting Schedules'!Q99</f>
        <v>-34.268936277197568</v>
      </c>
      <c r="Q143" s="318">
        <f>'Supporting Schedules'!R99</f>
        <v>-34.467020627256048</v>
      </c>
    </row>
    <row r="144" spans="2:19" hidden="1" outlineLevel="1">
      <c r="B144" s="111" t="s">
        <v>265</v>
      </c>
      <c r="C144" s="105">
        <v>15.263</v>
      </c>
      <c r="D144" s="105">
        <v>18.193999999999999</v>
      </c>
      <c r="E144" s="105">
        <v>11.704000000000001</v>
      </c>
      <c r="F144" s="105">
        <v>42.43</v>
      </c>
      <c r="G144" s="105">
        <v>19.812999999999999</v>
      </c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</row>
    <row r="145" spans="2:17" hidden="1" outlineLevel="1">
      <c r="B145" s="111" t="s">
        <v>266</v>
      </c>
      <c r="C145" s="105">
        <v>-32.387999999999998</v>
      </c>
      <c r="D145" s="105">
        <v>-49.808999999999997</v>
      </c>
      <c r="E145" s="105">
        <v>-35.158000000000001</v>
      </c>
      <c r="F145" s="105">
        <v>-32.573999999999998</v>
      </c>
      <c r="G145" s="105">
        <v>-35.409999999999997</v>
      </c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</row>
    <row r="146" spans="2:17" collapsed="1">
      <c r="B146" s="113" t="s">
        <v>267</v>
      </c>
      <c r="C146" s="60">
        <v>-63.662999999999997</v>
      </c>
      <c r="D146" s="60">
        <v>-812.60199999999998</v>
      </c>
      <c r="E146" s="105">
        <v>-444.00099999999998</v>
      </c>
      <c r="F146" s="105">
        <v>-558.65200000000004</v>
      </c>
      <c r="G146" s="105">
        <v>-1636.8789999999999</v>
      </c>
      <c r="H146" s="315">
        <f>'Supporting Schedules'!I89</f>
        <v>-1135.5693044364225</v>
      </c>
      <c r="I146" s="315">
        <f>'Supporting Schedules'!J89</f>
        <v>-1279.3099949943532</v>
      </c>
      <c r="J146" s="315">
        <f>'Supporting Schedules'!K89</f>
        <v>-1413.8681897888623</v>
      </c>
      <c r="K146" s="315">
        <f>'Supporting Schedules'!L89</f>
        <v>-1534.8674378583221</v>
      </c>
      <c r="L146" s="315">
        <f>'Supporting Schedules'!M89</f>
        <v>-1638.9011961335937</v>
      </c>
      <c r="M146" s="315">
        <f>'Supporting Schedules'!N89</f>
        <v>-1723.7639734561515</v>
      </c>
      <c r="N146" s="315">
        <f>'Supporting Schedules'!O89</f>
        <v>-1788.5435214774973</v>
      </c>
      <c r="O146" s="315">
        <f>'Supporting Schedules'!P89</f>
        <v>-1833.5795639583473</v>
      </c>
      <c r="P146" s="315">
        <f>'Supporting Schedules'!Q89</f>
        <v>-1860.3136836192966</v>
      </c>
      <c r="Q146" s="315">
        <f>'Supporting Schedules'!R89</f>
        <v>-1871.0668340510426</v>
      </c>
    </row>
    <row r="147" spans="2:17">
      <c r="B147" s="115" t="s">
        <v>96</v>
      </c>
      <c r="C147" s="187">
        <v>0</v>
      </c>
      <c r="D147" s="60">
        <v>-0.77</v>
      </c>
      <c r="E147" s="105">
        <v>-3.2000000000000001E-2</v>
      </c>
      <c r="F147" s="105">
        <v>-3.2000000000000001E-2</v>
      </c>
      <c r="G147" s="105">
        <v>-3.2000000000000001E-2</v>
      </c>
      <c r="H147" s="114">
        <v>0</v>
      </c>
      <c r="I147" s="114">
        <f>H147</f>
        <v>0</v>
      </c>
      <c r="J147" s="114">
        <f t="shared" ref="J147:Q147" si="107">I147</f>
        <v>0</v>
      </c>
      <c r="K147" s="114">
        <f t="shared" si="107"/>
        <v>0</v>
      </c>
      <c r="L147" s="114">
        <f t="shared" si="107"/>
        <v>0</v>
      </c>
      <c r="M147" s="114">
        <f t="shared" si="107"/>
        <v>0</v>
      </c>
      <c r="N147" s="114">
        <f t="shared" si="107"/>
        <v>0</v>
      </c>
      <c r="O147" s="114">
        <f t="shared" si="107"/>
        <v>0</v>
      </c>
      <c r="P147" s="114">
        <f t="shared" si="107"/>
        <v>0</v>
      </c>
      <c r="Q147" s="114">
        <f t="shared" si="107"/>
        <v>0</v>
      </c>
    </row>
    <row r="148" spans="2:17">
      <c r="B148" s="89" t="s">
        <v>97</v>
      </c>
      <c r="C148" s="319">
        <f>SUM(C143,C146,C147)</f>
        <v>-80.787999999999997</v>
      </c>
      <c r="D148" s="320">
        <f t="shared" ref="D148:Q148" si="108">SUM(D143,D146,D147)</f>
        <v>-844.98699999999997</v>
      </c>
      <c r="E148" s="320">
        <f t="shared" si="108"/>
        <v>-467.48699999999997</v>
      </c>
      <c r="F148" s="320">
        <f t="shared" si="108"/>
        <v>-548.82800000000009</v>
      </c>
      <c r="G148" s="320">
        <f t="shared" si="108"/>
        <v>-1652.5079999999998</v>
      </c>
      <c r="H148" s="321">
        <f t="shared" si="108"/>
        <v>-1156.4876863602512</v>
      </c>
      <c r="I148" s="321">
        <f t="shared" si="108"/>
        <v>-1302.8762317442493</v>
      </c>
      <c r="J148" s="321">
        <f t="shared" si="108"/>
        <v>-1439.9131301270781</v>
      </c>
      <c r="K148" s="321">
        <f t="shared" si="108"/>
        <v>-1563.1413117136069</v>
      </c>
      <c r="L148" s="321">
        <f t="shared" si="108"/>
        <v>-1669.0914813255283</v>
      </c>
      <c r="M148" s="321">
        <f t="shared" si="108"/>
        <v>-1755.5175203356068</v>
      </c>
      <c r="N148" s="321">
        <f t="shared" si="108"/>
        <v>-1821.4903758205039</v>
      </c>
      <c r="O148" s="321">
        <f t="shared" si="108"/>
        <v>-1867.3560296102116</v>
      </c>
      <c r="P148" s="321">
        <f t="shared" si="108"/>
        <v>-1894.5826198964942</v>
      </c>
      <c r="Q148" s="321">
        <f t="shared" si="108"/>
        <v>-1905.5338546782987</v>
      </c>
    </row>
    <row r="149" spans="2:17">
      <c r="B149" s="78"/>
      <c r="C149" s="69"/>
      <c r="D149" s="69"/>
      <c r="E149" s="69"/>
      <c r="F149" s="69"/>
      <c r="G149" s="69"/>
      <c r="H149" s="69"/>
      <c r="I149" s="69"/>
      <c r="J149" s="40"/>
      <c r="K149" s="40"/>
      <c r="L149" s="40"/>
      <c r="M149" s="40"/>
      <c r="N149" s="40"/>
      <c r="O149" s="40"/>
      <c r="P149" s="40"/>
      <c r="Q149" s="40"/>
    </row>
    <row r="150" spans="2:17">
      <c r="B150" s="116" t="s">
        <v>98</v>
      </c>
      <c r="C150" s="60">
        <v>29.995999999999999</v>
      </c>
      <c r="D150" s="60">
        <v>-6.8760000000000003</v>
      </c>
      <c r="E150" s="60">
        <v>-34.042999999999999</v>
      </c>
      <c r="F150" s="60">
        <v>-4.0999999999999996</v>
      </c>
      <c r="G150" s="60">
        <v>-81.665999999999997</v>
      </c>
      <c r="H150" s="322">
        <f>G150</f>
        <v>-81.665999999999997</v>
      </c>
      <c r="I150" s="322">
        <f t="shared" ref="I150:Q150" si="109">H150</f>
        <v>-81.665999999999997</v>
      </c>
      <c r="J150" s="322">
        <f t="shared" si="109"/>
        <v>-81.665999999999997</v>
      </c>
      <c r="K150" s="322">
        <f t="shared" si="109"/>
        <v>-81.665999999999997</v>
      </c>
      <c r="L150" s="322">
        <f t="shared" si="109"/>
        <v>-81.665999999999997</v>
      </c>
      <c r="M150" s="322">
        <f t="shared" si="109"/>
        <v>-81.665999999999997</v>
      </c>
      <c r="N150" s="322">
        <f t="shared" si="109"/>
        <v>-81.665999999999997</v>
      </c>
      <c r="O150" s="322">
        <f t="shared" si="109"/>
        <v>-81.665999999999997</v>
      </c>
      <c r="P150" s="322">
        <f t="shared" si="109"/>
        <v>-81.665999999999997</v>
      </c>
      <c r="Q150" s="322">
        <f t="shared" si="109"/>
        <v>-81.665999999999997</v>
      </c>
    </row>
    <row r="151" spans="2:17">
      <c r="B151" s="69"/>
      <c r="C151" s="40"/>
      <c r="D151" s="40"/>
      <c r="E151" s="40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</row>
    <row r="152" spans="2:17">
      <c r="B152" s="80" t="s">
        <v>223</v>
      </c>
      <c r="C152" s="320">
        <f>SUM(C133,C140,C148,C150)</f>
        <v>57.011999999999858</v>
      </c>
      <c r="D152" s="320">
        <f>SUM(D133,D140,D148,D150)</f>
        <v>109.35399999999944</v>
      </c>
      <c r="E152" s="320">
        <f>SUM(E133,E140,E148,E150)</f>
        <v>-105.00400000000025</v>
      </c>
      <c r="F152" s="320">
        <f t="shared" ref="F152:G152" si="110">SUM(F133,F140,F148,F150)</f>
        <v>1089.1040000000007</v>
      </c>
      <c r="G152" s="320">
        <f t="shared" si="110"/>
        <v>-259.63499999999914</v>
      </c>
      <c r="H152" s="82">
        <f>SUM(H133,H140,H148,H150)</f>
        <v>504.04204973146688</v>
      </c>
      <c r="I152" s="82">
        <f t="shared" ref="I152:Q152" si="111">SUM(I133,I140,I148,I150)</f>
        <v>131.62792862949613</v>
      </c>
      <c r="J152" s="82">
        <f t="shared" si="111"/>
        <v>180.53403661720216</v>
      </c>
      <c r="K152" s="82">
        <f t="shared" si="111"/>
        <v>234.43526358545336</v>
      </c>
      <c r="L152" s="82">
        <f t="shared" si="111"/>
        <v>302.46916092658142</v>
      </c>
      <c r="M152" s="82">
        <f t="shared" si="111"/>
        <v>372.14203104169195</v>
      </c>
      <c r="N152" s="82">
        <f t="shared" si="111"/>
        <v>427.43179763018355</v>
      </c>
      <c r="O152" s="82">
        <f t="shared" si="111"/>
        <v>490.75346622875344</v>
      </c>
      <c r="P152" s="82">
        <f t="shared" si="111"/>
        <v>489.23027570953053</v>
      </c>
      <c r="Q152" s="82">
        <f t="shared" si="111"/>
        <v>537.95745243824445</v>
      </c>
    </row>
    <row r="153" spans="2:17">
      <c r="B153" s="113" t="s">
        <v>268</v>
      </c>
      <c r="C153" s="110"/>
      <c r="D153" s="219">
        <f>C154</f>
        <v>1150.5170000000001</v>
      </c>
      <c r="E153" s="219">
        <f>D154</f>
        <v>1259.8709999999994</v>
      </c>
      <c r="F153" s="219">
        <f>E154</f>
        <v>1154.8669999999993</v>
      </c>
      <c r="G153" s="219">
        <f>F154</f>
        <v>2243.971</v>
      </c>
      <c r="H153" s="219">
        <f t="shared" ref="H153:Q153" si="112">G154</f>
        <v>1984.3360000000009</v>
      </c>
      <c r="I153" s="219">
        <f t="shared" si="112"/>
        <v>2488.3780497314679</v>
      </c>
      <c r="J153" s="219">
        <f t="shared" si="112"/>
        <v>2620.005978360964</v>
      </c>
      <c r="K153" s="219">
        <f t="shared" si="112"/>
        <v>2800.5400149781663</v>
      </c>
      <c r="L153" s="219">
        <f t="shared" si="112"/>
        <v>3034.9752785636197</v>
      </c>
      <c r="M153" s="219">
        <f t="shared" si="112"/>
        <v>3337.4444394902011</v>
      </c>
      <c r="N153" s="219">
        <f t="shared" si="112"/>
        <v>3709.5864705318932</v>
      </c>
      <c r="O153" s="219">
        <f t="shared" si="112"/>
        <v>4137.0182681620763</v>
      </c>
      <c r="P153" s="219">
        <f t="shared" si="112"/>
        <v>4627.7717343908298</v>
      </c>
      <c r="Q153" s="219">
        <f t="shared" si="112"/>
        <v>5117.0020101003602</v>
      </c>
    </row>
    <row r="154" spans="2:17">
      <c r="B154" s="113" t="s">
        <v>269</v>
      </c>
      <c r="C154" s="110">
        <f>C46</f>
        <v>1150.5170000000001</v>
      </c>
      <c r="D154" s="110">
        <f>D152+D153</f>
        <v>1259.8709999999994</v>
      </c>
      <c r="E154" s="110">
        <f>E152+E153</f>
        <v>1154.8669999999993</v>
      </c>
      <c r="F154" s="110">
        <f t="shared" ref="F154:G154" si="113">F152+F153</f>
        <v>2243.971</v>
      </c>
      <c r="G154" s="110">
        <f t="shared" si="113"/>
        <v>1984.3360000000009</v>
      </c>
      <c r="H154" s="110">
        <f t="shared" ref="H154" si="114">H152+H153</f>
        <v>2488.3780497314679</v>
      </c>
      <c r="I154" s="110">
        <f t="shared" ref="I154" si="115">I152+I153</f>
        <v>2620.005978360964</v>
      </c>
      <c r="J154" s="110">
        <f t="shared" ref="J154" si="116">J152+J153</f>
        <v>2800.5400149781663</v>
      </c>
      <c r="K154" s="110">
        <f t="shared" ref="K154" si="117">K152+K153</f>
        <v>3034.9752785636197</v>
      </c>
      <c r="L154" s="110">
        <f t="shared" ref="L154" si="118">L152+L153</f>
        <v>3337.4444394902011</v>
      </c>
      <c r="M154" s="110">
        <f t="shared" ref="M154" si="119">M152+M153</f>
        <v>3709.5864705318932</v>
      </c>
      <c r="N154" s="110">
        <f t="shared" ref="N154" si="120">N152+N153</f>
        <v>4137.0182681620763</v>
      </c>
      <c r="O154" s="110">
        <f t="shared" ref="O154" si="121">O152+O153</f>
        <v>4627.7717343908298</v>
      </c>
      <c r="P154" s="110">
        <f t="shared" ref="P154" si="122">P152+P153</f>
        <v>5117.0020101003602</v>
      </c>
      <c r="Q154" s="110">
        <f t="shared" ref="Q154" si="123">Q152+Q153</f>
        <v>5654.9594625386044</v>
      </c>
    </row>
    <row r="155" spans="2:17"/>
    <row r="156" spans="2:17">
      <c r="B156" s="311" t="s">
        <v>385</v>
      </c>
    </row>
    <row r="157" spans="2:17">
      <c r="B157" s="20" t="s">
        <v>406</v>
      </c>
      <c r="C157" s="312">
        <f>C119/C10</f>
        <v>7.9302497865116235E-3</v>
      </c>
      <c r="D157" s="312">
        <f>D119/D10</f>
        <v>-8.2792346087350391E-4</v>
      </c>
      <c r="E157" s="312">
        <f>E119/E10</f>
        <v>3.7506852213385134E-4</v>
      </c>
      <c r="F157" s="312">
        <f>F119/F10</f>
        <v>-2.9506372515691924E-3</v>
      </c>
      <c r="G157" s="312">
        <f>G119/G10</f>
        <v>5.4259837859881909E-3</v>
      </c>
      <c r="H157" s="313">
        <v>4.4999999999999997E-3</v>
      </c>
      <c r="I157" s="314">
        <f>H157</f>
        <v>4.4999999999999997E-3</v>
      </c>
      <c r="J157" s="314">
        <f t="shared" ref="J157:Q157" si="124">I157</f>
        <v>4.4999999999999997E-3</v>
      </c>
      <c r="K157" s="314">
        <f t="shared" si="124"/>
        <v>4.4999999999999997E-3</v>
      </c>
      <c r="L157" s="314">
        <f t="shared" si="124"/>
        <v>4.4999999999999997E-3</v>
      </c>
      <c r="M157" s="314">
        <f t="shared" si="124"/>
        <v>4.4999999999999997E-3</v>
      </c>
      <c r="N157" s="314">
        <f t="shared" si="124"/>
        <v>4.4999999999999997E-3</v>
      </c>
      <c r="O157" s="314">
        <f t="shared" si="124"/>
        <v>4.4999999999999997E-3</v>
      </c>
      <c r="P157" s="314">
        <f t="shared" si="124"/>
        <v>4.4999999999999997E-3</v>
      </c>
      <c r="Q157" s="314">
        <f t="shared" si="124"/>
        <v>4.4999999999999997E-3</v>
      </c>
    </row>
    <row r="158" spans="2:17"/>
    <row r="159" spans="2:17"/>
    <row r="160" spans="2:17">
      <c r="B160" s="20" t="s">
        <v>449</v>
      </c>
    </row>
    <row r="161" spans="1:19"/>
    <row r="162" spans="1:19" s="17" customFormat="1" ht="13.2">
      <c r="A162" s="120"/>
      <c r="B162" s="32" t="s">
        <v>448</v>
      </c>
      <c r="C162" s="120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120"/>
    </row>
    <row r="163" spans="1:19">
      <c r="B163" s="20" t="s">
        <v>49</v>
      </c>
    </row>
    <row r="164" spans="1:19">
      <c r="B164" s="20" t="s">
        <v>59</v>
      </c>
    </row>
    <row r="165" spans="1:19">
      <c r="B165" s="20" t="s">
        <v>90</v>
      </c>
    </row>
    <row r="166" spans="1:19">
      <c r="B166" s="485" t="s">
        <v>354</v>
      </c>
    </row>
    <row r="167" spans="1:19"/>
    <row r="168" spans="1:19"/>
    <row r="169" spans="1:19"/>
    <row r="170" spans="1:19"/>
    <row r="171" spans="1:19"/>
    <row r="172" spans="1:19"/>
    <row r="173" spans="1:19"/>
    <row r="174" spans="1:19"/>
    <row r="175" spans="1:19"/>
    <row r="176" spans="1:19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</sheetData>
  <conditionalFormatting sqref="C91:Q91">
    <cfRule type="colorScale" priority="2">
      <colorScale>
        <cfvo type="num" val="&quot;&lt;0&quot;"/>
        <cfvo type="num" val="0"/>
        <color rgb="FFFF0000"/>
        <color theme="1"/>
      </colorScale>
    </cfRule>
  </conditionalFormatting>
  <conditionalFormatting sqref="H96:Q97 D98:Q98 H99:H103 I101:Q103 H104:Q104 D92:Q93">
    <cfRule type="cellIs" dxfId="21" priority="4" stopIfTrue="1" operator="equal">
      <formula>#REF!</formula>
    </cfRule>
  </conditionalFormatting>
  <conditionalFormatting sqref="H42">
    <cfRule type="cellIs" dxfId="20" priority="7" stopIfTrue="1" operator="equal">
      <formula>#REF!</formula>
    </cfRule>
  </conditionalFormatting>
  <conditionalFormatting sqref="I42">
    <cfRule type="cellIs" dxfId="19" priority="6" stopIfTrue="1" operator="equal">
      <formula>#REF!</formula>
    </cfRule>
  </conditionalFormatting>
  <conditionalFormatting sqref="J108:Q109">
    <cfRule type="cellIs" dxfId="18" priority="1" stopIfTrue="1" operator="equal">
      <formula>#REF!</formula>
    </cfRule>
  </conditionalFormatting>
  <conditionalFormatting sqref="J111:Q111 J120:Q120 J144:Q145 C147:D147 H147:Q147">
    <cfRule type="cellIs" dxfId="17" priority="3" stopIfTrue="1" operator="equal">
      <formula>#REF!</formula>
    </cfRule>
  </conditionalFormatting>
  <conditionalFormatting sqref="J135:Q135">
    <cfRule type="cellIs" dxfId="16" priority="9" stopIfTrue="1" operator="equal">
      <formula>#REF!</formula>
    </cfRule>
  </conditionalFormatting>
  <conditionalFormatting sqref="J151:Q151">
    <cfRule type="cellIs" dxfId="15" priority="10" stopIfTrue="1" operator="equal">
      <formula>#REF!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32BF-280F-41A1-8CD8-F18D69DD8EFB}">
  <sheetPr codeName="Sheet4">
    <tabColor rgb="FF050A3F"/>
  </sheetPr>
  <dimension ref="A1:XFC261"/>
  <sheetViews>
    <sheetView showGridLines="0" zoomScale="95" zoomScaleNormal="115" workbookViewId="0">
      <pane xSplit="3" ySplit="6" topLeftCell="D17" activePane="bottomRight" state="frozen"/>
      <selection activeCell="S118" sqref="S118"/>
      <selection pane="topRight" activeCell="S118" sqref="S118"/>
      <selection pane="bottomLeft" activeCell="S118" sqref="S118"/>
      <selection pane="bottomRight" activeCell="B109" sqref="B109"/>
    </sheetView>
  </sheetViews>
  <sheetFormatPr defaultColWidth="0" defaultRowHeight="12.75" customHeight="1" zeroHeight="1" outlineLevelRow="1"/>
  <cols>
    <col min="1" max="1" width="2.5" style="17" customWidth="1"/>
    <col min="2" max="2" width="46.19921875" style="17" bestFit="1" customWidth="1"/>
    <col min="3" max="3" width="12.296875" style="17" customWidth="1"/>
    <col min="4" max="18" width="10.69921875" style="17" customWidth="1"/>
    <col min="19" max="19" width="5.19921875" style="17" customWidth="1"/>
    <col min="20" max="40" width="0" style="17" hidden="1"/>
    <col min="41" max="16381" width="4.69921875" style="17" hidden="1"/>
    <col min="16382" max="16382" width="0.796875" style="17" hidden="1"/>
    <col min="16383" max="16383" width="5.3984375" style="17" hidden="1"/>
    <col min="16384" max="16384" width="0.3984375" style="17" hidden="1"/>
  </cols>
  <sheetData>
    <row r="1" spans="1:19" s="33" customFormat="1" ht="17.399999999999999">
      <c r="B1" s="32" t="s">
        <v>4</v>
      </c>
      <c r="R1" s="34"/>
      <c r="S1" s="34"/>
    </row>
    <row r="2" spans="1:19" s="33" customFormat="1" ht="17.399999999999999">
      <c r="B2" s="32" t="str">
        <f>company</f>
        <v>lululemon athletica inc.</v>
      </c>
      <c r="R2" s="34"/>
      <c r="S2" s="34"/>
    </row>
    <row r="3" spans="1:19" s="33" customFormat="1" ht="17.399999999999999">
      <c r="B3" s="32" t="s">
        <v>45</v>
      </c>
      <c r="R3" s="34"/>
      <c r="S3" s="34"/>
    </row>
    <row r="4" spans="1:19" s="33" customFormat="1" ht="17.399999999999999">
      <c r="B4" s="32" t="s">
        <v>213</v>
      </c>
      <c r="C4" s="35"/>
      <c r="D4" s="35"/>
      <c r="E4" s="35"/>
      <c r="F4" s="35"/>
      <c r="R4" s="34"/>
      <c r="S4" s="34"/>
    </row>
    <row r="5" spans="1:19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9"/>
    </row>
    <row r="6" spans="1:19" s="34" customFormat="1" ht="13.8">
      <c r="B6" s="32" t="s">
        <v>47</v>
      </c>
      <c r="C6" s="36"/>
      <c r="D6" s="36">
        <v>2020</v>
      </c>
      <c r="E6" s="36">
        <f t="shared" ref="E6:R6" si="0">D6+1</f>
        <v>2021</v>
      </c>
      <c r="F6" s="36">
        <f t="shared" si="0"/>
        <v>2022</v>
      </c>
      <c r="G6" s="36">
        <f t="shared" si="0"/>
        <v>2023</v>
      </c>
      <c r="H6" s="36">
        <f t="shared" si="0"/>
        <v>2024</v>
      </c>
      <c r="I6" s="37">
        <f t="shared" si="0"/>
        <v>2025</v>
      </c>
      <c r="J6" s="37">
        <f t="shared" si="0"/>
        <v>2026</v>
      </c>
      <c r="K6" s="37">
        <f t="shared" si="0"/>
        <v>2027</v>
      </c>
      <c r="L6" s="37">
        <f t="shared" si="0"/>
        <v>2028</v>
      </c>
      <c r="M6" s="37">
        <f t="shared" si="0"/>
        <v>2029</v>
      </c>
      <c r="N6" s="37">
        <f t="shared" si="0"/>
        <v>2030</v>
      </c>
      <c r="O6" s="37">
        <f t="shared" si="0"/>
        <v>2031</v>
      </c>
      <c r="P6" s="37">
        <f t="shared" si="0"/>
        <v>2032</v>
      </c>
      <c r="Q6" s="37">
        <f t="shared" si="0"/>
        <v>2033</v>
      </c>
      <c r="R6" s="37">
        <f t="shared" si="0"/>
        <v>2034</v>
      </c>
    </row>
    <row r="7" spans="1:19" ht="13.2">
      <c r="A7" s="117"/>
      <c r="B7" s="118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</row>
    <row r="8" spans="1:19" ht="13.2">
      <c r="A8" s="120"/>
      <c r="B8" s="32" t="s">
        <v>362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</row>
    <row r="9" spans="1:19" ht="12.75" customHeight="1"/>
    <row r="10" spans="1:19" ht="12.75" customHeight="1">
      <c r="B10" s="17" t="s">
        <v>358</v>
      </c>
      <c r="D10" s="291">
        <f>'Financial Statements'!C10</f>
        <v>4401.8789999999999</v>
      </c>
      <c r="E10" s="291">
        <f>'Financial Statements'!D10</f>
        <v>6256.6170000000002</v>
      </c>
      <c r="F10" s="291">
        <f>'Financial Statements'!E10</f>
        <v>8110.518</v>
      </c>
      <c r="G10" s="291">
        <f>'Financial Statements'!F10</f>
        <v>9619.2780000000002</v>
      </c>
      <c r="H10" s="291">
        <f>'Financial Statements'!G10</f>
        <v>10588.126</v>
      </c>
      <c r="I10" s="291">
        <f>'Financial Statements'!H10</f>
        <v>11953.361099330763</v>
      </c>
      <c r="J10" s="291">
        <f>'Financial Statements'!I10</f>
        <v>13466.420999940561</v>
      </c>
      <c r="K10" s="291">
        <f>'Financial Statements'!J10</f>
        <v>14882.823050409077</v>
      </c>
      <c r="L10" s="291">
        <f>'Financial Statements'!K10</f>
        <v>16156.499345877075</v>
      </c>
      <c r="M10" s="291">
        <f>'Financial Statements'!L10</f>
        <v>17251.591538248354</v>
      </c>
      <c r="N10" s="291">
        <f>'Financial Statements'!M10</f>
        <v>18144.883931117383</v>
      </c>
      <c r="O10" s="291">
        <f>'Financial Statements'!N10</f>
        <v>18826.773910289445</v>
      </c>
      <c r="P10" s="291">
        <f>'Financial Statements'!O10</f>
        <v>19300.837515351024</v>
      </c>
      <c r="Q10" s="291">
        <f>'Financial Statements'!P10</f>
        <v>19582.249301255753</v>
      </c>
      <c r="R10" s="291">
        <f>'Financial Statements'!Q10</f>
        <v>19695.440358432028</v>
      </c>
    </row>
    <row r="11" spans="1:19" ht="12.75" customHeight="1">
      <c r="B11" s="17" t="s">
        <v>351</v>
      </c>
      <c r="D11" s="291">
        <f>'Financial Statements'!C12</f>
        <v>-1937.8879999999999</v>
      </c>
      <c r="E11" s="291">
        <f>'Financial Statements'!D12</f>
        <v>-2648.0520000000001</v>
      </c>
      <c r="F11" s="291">
        <f>'Financial Statements'!E12</f>
        <v>-3618.1779999999999</v>
      </c>
      <c r="G11" s="291">
        <f>'Financial Statements'!F12</f>
        <v>-4009.873</v>
      </c>
      <c r="H11" s="291">
        <f>'Financial Statements'!G12</f>
        <v>-4317.3149999999996</v>
      </c>
      <c r="I11" s="290">
        <f>-(I10-I12)</f>
        <v>-4876.9713285269518</v>
      </c>
      <c r="J11" s="290">
        <f t="shared" ref="J11:R11" si="1">-(J10-J12)</f>
        <v>-5413.501241976106</v>
      </c>
      <c r="K11" s="290">
        <f t="shared" si="1"/>
        <v>-5923.3635740628124</v>
      </c>
      <c r="L11" s="290">
        <f t="shared" si="1"/>
        <v>-6397.9737409673216</v>
      </c>
      <c r="M11" s="290">
        <f t="shared" si="1"/>
        <v>-6797.1270660698519</v>
      </c>
      <c r="N11" s="290">
        <f t="shared" si="1"/>
        <v>-7112.794500998014</v>
      </c>
      <c r="O11" s="290">
        <f t="shared" si="1"/>
        <v>-7380.0953728334625</v>
      </c>
      <c r="P11" s="290">
        <f t="shared" si="1"/>
        <v>-7565.9283060176022</v>
      </c>
      <c r="Q11" s="290">
        <f t="shared" si="1"/>
        <v>-7676.2417260922557</v>
      </c>
      <c r="R11" s="290">
        <f t="shared" si="1"/>
        <v>-7720.6126205053552</v>
      </c>
    </row>
    <row r="12" spans="1:19" ht="12.75" customHeight="1">
      <c r="B12" s="17" t="s">
        <v>52</v>
      </c>
      <c r="D12" s="294">
        <f>D10+D11</f>
        <v>2463.991</v>
      </c>
      <c r="E12" s="294">
        <f t="shared" ref="E12:H12" si="2">E10+E11</f>
        <v>3608.5650000000001</v>
      </c>
      <c r="F12" s="294">
        <f t="shared" si="2"/>
        <v>4492.34</v>
      </c>
      <c r="G12" s="294">
        <f t="shared" si="2"/>
        <v>5609.4050000000007</v>
      </c>
      <c r="H12" s="294">
        <f t="shared" si="2"/>
        <v>6270.8110000000006</v>
      </c>
      <c r="I12" s="290">
        <f t="shared" ref="I12:R12" si="3">I10*I13</f>
        <v>7076.3897708038112</v>
      </c>
      <c r="J12" s="290">
        <f t="shared" si="3"/>
        <v>8052.9197579644551</v>
      </c>
      <c r="K12" s="290">
        <f t="shared" si="3"/>
        <v>8959.4594763462646</v>
      </c>
      <c r="L12" s="290">
        <f t="shared" si="3"/>
        <v>9758.5256049097534</v>
      </c>
      <c r="M12" s="290">
        <f t="shared" si="3"/>
        <v>10454.464472178503</v>
      </c>
      <c r="N12" s="290">
        <f t="shared" si="3"/>
        <v>11032.089430119369</v>
      </c>
      <c r="O12" s="290">
        <f t="shared" si="3"/>
        <v>11446.678537455982</v>
      </c>
      <c r="P12" s="290">
        <f t="shared" si="3"/>
        <v>11734.909209333422</v>
      </c>
      <c r="Q12" s="290">
        <f t="shared" si="3"/>
        <v>11906.007575163498</v>
      </c>
      <c r="R12" s="290">
        <f t="shared" si="3"/>
        <v>11974.827737926673</v>
      </c>
    </row>
    <row r="13" spans="1:19" ht="12.75" customHeight="1">
      <c r="B13" s="132" t="s">
        <v>350</v>
      </c>
      <c r="D13" s="292">
        <f>D12/D10</f>
        <v>0.55975891204642381</v>
      </c>
      <c r="E13" s="292">
        <f>E12/E10</f>
        <v>0.57675977289324243</v>
      </c>
      <c r="F13" s="292">
        <f>F12/F10</f>
        <v>0.55389063929085669</v>
      </c>
      <c r="G13" s="292">
        <f>G12/G10</f>
        <v>0.58314199880697914</v>
      </c>
      <c r="H13" s="292">
        <f>H12/H10</f>
        <v>0.59224937444076509</v>
      </c>
      <c r="I13" s="293">
        <v>0.59199999999999997</v>
      </c>
      <c r="J13" s="293">
        <v>0.59799999999999998</v>
      </c>
      <c r="K13" s="293">
        <v>0.60199999999999998</v>
      </c>
      <c r="L13" s="293">
        <v>0.60399999999999998</v>
      </c>
      <c r="M13" s="293">
        <v>0.60599999999999998</v>
      </c>
      <c r="N13" s="293">
        <v>0.60799999999999998</v>
      </c>
      <c r="O13" s="292">
        <f>N13</f>
        <v>0.60799999999999998</v>
      </c>
      <c r="P13" s="292">
        <f t="shared" ref="P13:R13" si="4">O13</f>
        <v>0.60799999999999998</v>
      </c>
      <c r="Q13" s="292">
        <f t="shared" si="4"/>
        <v>0.60799999999999998</v>
      </c>
      <c r="R13" s="292">
        <f t="shared" si="4"/>
        <v>0.60799999999999998</v>
      </c>
    </row>
    <row r="14" spans="1:19" ht="12.75" customHeight="1">
      <c r="D14" s="292"/>
      <c r="E14" s="292"/>
      <c r="F14" s="292"/>
      <c r="G14" s="292"/>
      <c r="H14" s="292"/>
      <c r="I14" s="293"/>
      <c r="J14" s="293"/>
      <c r="K14" s="293"/>
      <c r="L14" s="293"/>
      <c r="M14" s="293"/>
      <c r="N14" s="293"/>
      <c r="O14" s="292"/>
      <c r="P14" s="292"/>
      <c r="Q14" s="292"/>
      <c r="R14" s="292"/>
    </row>
    <row r="15" spans="1:19" ht="13.2">
      <c r="A15" s="120"/>
      <c r="B15" s="32" t="s">
        <v>361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</row>
    <row r="16" spans="1:19" ht="12.75" customHeight="1">
      <c r="D16" s="292"/>
      <c r="E16" s="292"/>
      <c r="F16" s="292"/>
      <c r="G16" s="292"/>
      <c r="H16" s="292"/>
      <c r="I16" s="293"/>
      <c r="J16" s="293"/>
      <c r="K16" s="293"/>
      <c r="L16" s="293"/>
      <c r="M16" s="293"/>
      <c r="N16" s="293"/>
      <c r="O16" s="292"/>
      <c r="P16" s="292"/>
      <c r="Q16" s="292"/>
      <c r="R16" s="292"/>
    </row>
    <row r="17" spans="1:19" ht="12.75" customHeight="1">
      <c r="B17" s="17" t="s">
        <v>359</v>
      </c>
      <c r="D17" s="296">
        <f>D12</f>
        <v>2463.991</v>
      </c>
      <c r="E17" s="296">
        <f t="shared" ref="E17:R17" si="5">E12</f>
        <v>3608.5650000000001</v>
      </c>
      <c r="F17" s="296">
        <f t="shared" si="5"/>
        <v>4492.34</v>
      </c>
      <c r="G17" s="296">
        <f t="shared" si="5"/>
        <v>5609.4050000000007</v>
      </c>
      <c r="H17" s="296">
        <f t="shared" si="5"/>
        <v>6270.8110000000006</v>
      </c>
      <c r="I17" s="296">
        <f t="shared" si="5"/>
        <v>7076.3897708038112</v>
      </c>
      <c r="J17" s="296">
        <f t="shared" si="5"/>
        <v>8052.9197579644551</v>
      </c>
      <c r="K17" s="296">
        <f t="shared" si="5"/>
        <v>8959.4594763462646</v>
      </c>
      <c r="L17" s="296">
        <f t="shared" si="5"/>
        <v>9758.5256049097534</v>
      </c>
      <c r="M17" s="296">
        <f t="shared" si="5"/>
        <v>10454.464472178503</v>
      </c>
      <c r="N17" s="296">
        <f t="shared" si="5"/>
        <v>11032.089430119369</v>
      </c>
      <c r="O17" s="296">
        <f t="shared" si="5"/>
        <v>11446.678537455982</v>
      </c>
      <c r="P17" s="296">
        <f t="shared" si="5"/>
        <v>11734.909209333422</v>
      </c>
      <c r="Q17" s="296">
        <f t="shared" si="5"/>
        <v>11906.007575163498</v>
      </c>
      <c r="R17" s="296">
        <f t="shared" si="5"/>
        <v>11974.827737926673</v>
      </c>
    </row>
    <row r="18" spans="1:19" ht="12.75" customHeight="1">
      <c r="B18" s="17" t="s">
        <v>352</v>
      </c>
      <c r="D18" s="291">
        <f>'Financial Statements'!C18</f>
        <v>-1609.0029999999999</v>
      </c>
      <c r="E18" s="291">
        <f>'Financial Statements'!D18</f>
        <v>-2225.0340000000001</v>
      </c>
      <c r="F18" s="291">
        <f>'Financial Statements'!E18</f>
        <v>-2757.4470000000001</v>
      </c>
      <c r="G18" s="291">
        <f>'Financial Statements'!F18</f>
        <v>-3397.2179999999998</v>
      </c>
      <c r="H18" s="291">
        <f>'Financial Statements'!G18</f>
        <v>-3762.3789999999999</v>
      </c>
      <c r="I18" s="294">
        <f>-(I17-I20-I19)</f>
        <v>-5047.0533839175814</v>
      </c>
      <c r="J18" s="294">
        <f t="shared" ref="J18:R18" si="6">-(J17-J20-J19)</f>
        <v>-5766.3631879745599</v>
      </c>
      <c r="K18" s="294">
        <f t="shared" si="6"/>
        <v>-6432.1145577767211</v>
      </c>
      <c r="L18" s="294">
        <f t="shared" si="6"/>
        <v>-7014.6557161106502</v>
      </c>
      <c r="M18" s="294">
        <f t="shared" si="6"/>
        <v>-7524.4289106762817</v>
      </c>
      <c r="N18" s="294">
        <f t="shared" si="6"/>
        <v>-7950.194161829414</v>
      </c>
      <c r="O18" s="294">
        <f t="shared" si="6"/>
        <v>-8248.861972706778</v>
      </c>
      <c r="P18" s="294">
        <f t="shared" si="6"/>
        <v>-8456.5018317237482</v>
      </c>
      <c r="Q18" s="294">
        <f t="shared" si="6"/>
        <v>-8579.76019395002</v>
      </c>
      <c r="R18" s="294">
        <f t="shared" si="6"/>
        <v>-8629.3378769932278</v>
      </c>
    </row>
    <row r="19" spans="1:19" ht="12.75" customHeight="1">
      <c r="B19" s="17" t="s">
        <v>355</v>
      </c>
      <c r="D19" s="291">
        <f>SUM('Financial Statements'!C19:C22)</f>
        <v>-35.001999999999995</v>
      </c>
      <c r="E19" s="291">
        <f>SUM('Financial Statements'!D19:D22)</f>
        <v>-50.176000000000002</v>
      </c>
      <c r="F19" s="291">
        <f>SUM('Financial Statements'!E19:E22)</f>
        <v>-406.48500000000001</v>
      </c>
      <c r="G19" s="291">
        <f>SUM('Financial Statements'!F19:F22)</f>
        <v>-79.51100000000001</v>
      </c>
      <c r="H19" s="291">
        <f>SUM('Financial Statements'!G19:G22)</f>
        <v>-2.7349999999999999</v>
      </c>
      <c r="I19" s="482">
        <f>H19</f>
        <v>-2.7349999999999999</v>
      </c>
      <c r="J19" s="482">
        <f t="shared" ref="J19:R19" si="7">I19</f>
        <v>-2.7349999999999999</v>
      </c>
      <c r="K19" s="482">
        <f t="shared" si="7"/>
        <v>-2.7349999999999999</v>
      </c>
      <c r="L19" s="482">
        <f t="shared" si="7"/>
        <v>-2.7349999999999999</v>
      </c>
      <c r="M19" s="482">
        <f t="shared" si="7"/>
        <v>-2.7349999999999999</v>
      </c>
      <c r="N19" s="482">
        <f t="shared" si="7"/>
        <v>-2.7349999999999999</v>
      </c>
      <c r="O19" s="482">
        <f t="shared" si="7"/>
        <v>-2.7349999999999999</v>
      </c>
      <c r="P19" s="482">
        <f t="shared" si="7"/>
        <v>-2.7349999999999999</v>
      </c>
      <c r="Q19" s="482">
        <f t="shared" si="7"/>
        <v>-2.7349999999999999</v>
      </c>
      <c r="R19" s="482">
        <f t="shared" si="7"/>
        <v>-2.7349999999999999</v>
      </c>
    </row>
    <row r="20" spans="1:19" ht="12.75" customHeight="1">
      <c r="B20" s="17" t="s">
        <v>353</v>
      </c>
      <c r="D20" s="294">
        <f>SUM(D17:D19)</f>
        <v>819.9860000000001</v>
      </c>
      <c r="E20" s="294">
        <f t="shared" ref="E20:H20" si="8">SUM(E17:E19)</f>
        <v>1333.355</v>
      </c>
      <c r="F20" s="294">
        <f t="shared" si="8"/>
        <v>1328.4079999999999</v>
      </c>
      <c r="G20" s="294">
        <f t="shared" si="8"/>
        <v>2132.6760000000008</v>
      </c>
      <c r="H20" s="294">
        <f t="shared" si="8"/>
        <v>2505.6970000000006</v>
      </c>
      <c r="I20" s="294">
        <f>I10*I21</f>
        <v>2032.0713868862299</v>
      </c>
      <c r="J20" s="294">
        <f t="shared" ref="J20:R20" si="9">J10*J21</f>
        <v>2289.2915699898954</v>
      </c>
      <c r="K20" s="294">
        <f t="shared" si="9"/>
        <v>2530.0799185695432</v>
      </c>
      <c r="L20" s="294">
        <f t="shared" si="9"/>
        <v>2746.6048887991028</v>
      </c>
      <c r="M20" s="294">
        <f t="shared" si="9"/>
        <v>2932.7705615022205</v>
      </c>
      <c r="N20" s="294">
        <f t="shared" si="9"/>
        <v>3084.6302682899554</v>
      </c>
      <c r="O20" s="294">
        <f t="shared" si="9"/>
        <v>3200.5515647492057</v>
      </c>
      <c r="P20" s="294">
        <f t="shared" si="9"/>
        <v>3281.1423776096744</v>
      </c>
      <c r="Q20" s="294">
        <f t="shared" si="9"/>
        <v>3328.9823812134782</v>
      </c>
      <c r="R20" s="294">
        <f t="shared" si="9"/>
        <v>3348.2248609334451</v>
      </c>
    </row>
    <row r="21" spans="1:19" ht="12.75" customHeight="1">
      <c r="B21" s="132" t="s">
        <v>354</v>
      </c>
      <c r="D21" s="292">
        <f>D20/D10</f>
        <v>0.18628090413207635</v>
      </c>
      <c r="E21" s="292">
        <f t="shared" ref="E21:H21" si="10">E20/E10</f>
        <v>0.21311117493687085</v>
      </c>
      <c r="F21" s="292">
        <f t="shared" si="10"/>
        <v>0.163788305506504</v>
      </c>
      <c r="G21" s="292">
        <f t="shared" si="10"/>
        <v>0.22170853155507106</v>
      </c>
      <c r="H21" s="292">
        <f t="shared" si="10"/>
        <v>0.23665160388155568</v>
      </c>
      <c r="I21" s="293">
        <v>0.17</v>
      </c>
      <c r="J21" s="308">
        <f>I21</f>
        <v>0.17</v>
      </c>
      <c r="K21" s="308">
        <f t="shared" ref="K21:R21" si="11">J21</f>
        <v>0.17</v>
      </c>
      <c r="L21" s="308">
        <f t="shared" si="11"/>
        <v>0.17</v>
      </c>
      <c r="M21" s="308">
        <f t="shared" si="11"/>
        <v>0.17</v>
      </c>
      <c r="N21" s="308">
        <f t="shared" si="11"/>
        <v>0.17</v>
      </c>
      <c r="O21" s="308">
        <f t="shared" si="11"/>
        <v>0.17</v>
      </c>
      <c r="P21" s="308">
        <f t="shared" si="11"/>
        <v>0.17</v>
      </c>
      <c r="Q21" s="308">
        <f t="shared" si="11"/>
        <v>0.17</v>
      </c>
      <c r="R21" s="308">
        <f t="shared" si="11"/>
        <v>0.17</v>
      </c>
    </row>
    <row r="22" spans="1:19" ht="12.75" customHeight="1"/>
    <row r="23" spans="1:19" ht="13.2">
      <c r="A23" s="120"/>
      <c r="B23" s="32" t="s">
        <v>360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</row>
    <row r="24" spans="1:19" ht="12.75" customHeight="1"/>
    <row r="25" spans="1:19" ht="12.75" customHeight="1">
      <c r="B25" s="17" t="s">
        <v>356</v>
      </c>
      <c r="D25" s="291">
        <f>'Financial Statements'!C29</f>
        <v>819.34999999999991</v>
      </c>
      <c r="E25" s="291">
        <f>'Financial Statements'!D29</f>
        <v>1333.8689999999999</v>
      </c>
      <c r="F25" s="291">
        <f>'Financial Statements'!E29</f>
        <v>1332.5709999999999</v>
      </c>
      <c r="G25" s="291">
        <f>'Financial Statements'!F29</f>
        <v>2175.7350000000006</v>
      </c>
      <c r="H25" s="291">
        <f>'Financial Statements'!G29</f>
        <v>2576.0770000000007</v>
      </c>
      <c r="I25" s="291">
        <f>'Financial Statements'!H29</f>
        <v>2105.7035468127574</v>
      </c>
      <c r="J25" s="291">
        <f>'Financial Statements'!I29</f>
        <v>2372.5903070781187</v>
      </c>
      <c r="K25" s="291">
        <f>'Financial Statements'!J29</f>
        <v>2622.4277089750335</v>
      </c>
      <c r="L25" s="291">
        <f>'Financial Statements'!K29</f>
        <v>2847.0898918715875</v>
      </c>
      <c r="M25" s="291">
        <f>'Financial Statements'!L29</f>
        <v>3040.2518461974355</v>
      </c>
      <c r="N25" s="291">
        <f>'Financial Statements'!M29</f>
        <v>3197.8185840420001</v>
      </c>
      <c r="O25" s="291">
        <f>'Financial Statements'!N29</f>
        <v>3318.0963121909649</v>
      </c>
      <c r="P25" s="291">
        <f>'Financial Statements'!O29</f>
        <v>3401.715803834099</v>
      </c>
      <c r="Q25" s="291">
        <f>'Financial Statements'!P29</f>
        <v>3451.3536799091535</v>
      </c>
      <c r="R25" s="291">
        <f>'Financial Statements'!Q29</f>
        <v>3471.3193101717834</v>
      </c>
    </row>
    <row r="26" spans="1:19" ht="12.75" customHeight="1">
      <c r="B26" s="17" t="s">
        <v>357</v>
      </c>
      <c r="D26" s="291">
        <f>'Financial Statements'!C31</f>
        <v>-230.43700000000001</v>
      </c>
      <c r="E26" s="291">
        <f>'Financial Statements'!D31</f>
        <v>-358.54700000000003</v>
      </c>
      <c r="F26" s="291">
        <f>'Financial Statements'!E31</f>
        <v>-477.77100000000002</v>
      </c>
      <c r="G26" s="291">
        <f>'Financial Statements'!F31</f>
        <v>-625.54499999999996</v>
      </c>
      <c r="H26" s="291">
        <f>'Financial Statements'!G31</f>
        <v>-761.46100000000001</v>
      </c>
      <c r="I26" s="294">
        <f>-I25*I27</f>
        <v>-638.02817468426542</v>
      </c>
      <c r="J26" s="294">
        <f t="shared" ref="J26:R26" si="12">-J25*J27</f>
        <v>-718.89486304466993</v>
      </c>
      <c r="K26" s="294">
        <f t="shared" si="12"/>
        <v>-794.59559581943518</v>
      </c>
      <c r="L26" s="294">
        <f t="shared" si="12"/>
        <v>-862.66823723709103</v>
      </c>
      <c r="M26" s="294">
        <f t="shared" si="12"/>
        <v>-921.19630939782292</v>
      </c>
      <c r="N26" s="294">
        <f t="shared" si="12"/>
        <v>-968.93903096472604</v>
      </c>
      <c r="O26" s="294">
        <f t="shared" si="12"/>
        <v>-1005.3831825938623</v>
      </c>
      <c r="P26" s="294">
        <f t="shared" si="12"/>
        <v>-1030.719888561732</v>
      </c>
      <c r="Q26" s="294">
        <f t="shared" si="12"/>
        <v>-1045.7601650124734</v>
      </c>
      <c r="R26" s="294">
        <f t="shared" si="12"/>
        <v>-1051.8097509820504</v>
      </c>
    </row>
    <row r="27" spans="1:19" ht="12.75" customHeight="1">
      <c r="B27" s="132" t="s">
        <v>111</v>
      </c>
      <c r="D27" s="292">
        <f>-D26/D25</f>
        <v>0.28124366876182344</v>
      </c>
      <c r="E27" s="292">
        <f t="shared" ref="E27:H27" si="13">-E26/E25</f>
        <v>0.2688022586925703</v>
      </c>
      <c r="F27" s="292">
        <f t="shared" si="13"/>
        <v>0.35853324138075948</v>
      </c>
      <c r="G27" s="292">
        <f t="shared" si="13"/>
        <v>0.28750973808850794</v>
      </c>
      <c r="H27" s="292">
        <f t="shared" si="13"/>
        <v>0.2955893787336325</v>
      </c>
      <c r="I27" s="293">
        <v>0.30299999999999999</v>
      </c>
      <c r="J27" s="308">
        <f>I27</f>
        <v>0.30299999999999999</v>
      </c>
      <c r="K27" s="308">
        <f t="shared" ref="K27:R27" si="14">J27</f>
        <v>0.30299999999999999</v>
      </c>
      <c r="L27" s="308">
        <f t="shared" si="14"/>
        <v>0.30299999999999999</v>
      </c>
      <c r="M27" s="308">
        <f t="shared" si="14"/>
        <v>0.30299999999999999</v>
      </c>
      <c r="N27" s="308">
        <f t="shared" si="14"/>
        <v>0.30299999999999999</v>
      </c>
      <c r="O27" s="308">
        <f t="shared" si="14"/>
        <v>0.30299999999999999</v>
      </c>
      <c r="P27" s="308">
        <f t="shared" si="14"/>
        <v>0.30299999999999999</v>
      </c>
      <c r="Q27" s="308">
        <f t="shared" si="14"/>
        <v>0.30299999999999999</v>
      </c>
      <c r="R27" s="308">
        <f t="shared" si="14"/>
        <v>0.30299999999999999</v>
      </c>
    </row>
    <row r="28" spans="1:19" ht="12.75" customHeight="1"/>
    <row r="29" spans="1:19" ht="13.2">
      <c r="A29" s="120"/>
      <c r="B29" s="32" t="s">
        <v>157</v>
      </c>
      <c r="C29" s="120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120"/>
    </row>
    <row r="30" spans="1:19" ht="12.75" customHeight="1"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</row>
    <row r="31" spans="1:19" ht="12.75" customHeight="1">
      <c r="B31" s="300" t="s">
        <v>371</v>
      </c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</row>
    <row r="32" spans="1:19" ht="12.75" customHeight="1">
      <c r="B32" s="17" t="s">
        <v>372</v>
      </c>
      <c r="D32" s="290"/>
      <c r="E32" s="296">
        <f>D34</f>
        <v>62.399000000000001</v>
      </c>
      <c r="F32" s="296">
        <f t="shared" ref="F32:R32" si="15">E34</f>
        <v>77.001000000000005</v>
      </c>
      <c r="G32" s="296">
        <f t="shared" si="15"/>
        <v>132.90600000000001</v>
      </c>
      <c r="H32" s="296">
        <f t="shared" si="15"/>
        <v>124.76900000000001</v>
      </c>
      <c r="I32" s="296">
        <f t="shared" si="15"/>
        <v>120.173</v>
      </c>
      <c r="J32" s="296">
        <f t="shared" si="15"/>
        <v>145.77269633330198</v>
      </c>
      <c r="K32" s="296">
        <f t="shared" si="15"/>
        <v>164.22464634073856</v>
      </c>
      <c r="L32" s="296">
        <f t="shared" si="15"/>
        <v>181.49784207815947</v>
      </c>
      <c r="M32" s="296">
        <f t="shared" si="15"/>
        <v>197.0304798277692</v>
      </c>
      <c r="N32" s="296">
        <f t="shared" si="15"/>
        <v>210.38526266156529</v>
      </c>
      <c r="O32" s="296">
        <f t="shared" si="15"/>
        <v>221.27907233069979</v>
      </c>
      <c r="P32" s="296">
        <f t="shared" si="15"/>
        <v>229.59480378401761</v>
      </c>
      <c r="Q32" s="296">
        <f t="shared" si="15"/>
        <v>235.37606726037833</v>
      </c>
      <c r="R32" s="296">
        <f t="shared" si="15"/>
        <v>238.807918307997</v>
      </c>
    </row>
    <row r="33" spans="2:18" ht="12.75" customHeight="1">
      <c r="B33" s="17" t="s">
        <v>373</v>
      </c>
      <c r="D33" s="290"/>
      <c r="E33" s="290">
        <f>E34-E32</f>
        <v>14.602000000000004</v>
      </c>
      <c r="F33" s="290">
        <f t="shared" ref="F33:H33" si="16">F34-F32</f>
        <v>55.905000000000001</v>
      </c>
      <c r="G33" s="290">
        <f t="shared" si="16"/>
        <v>-8.1370000000000005</v>
      </c>
      <c r="H33" s="290">
        <f t="shared" si="16"/>
        <v>-4.5960000000000036</v>
      </c>
      <c r="I33" s="290">
        <f t="shared" ref="I33" si="17">I34-I32</f>
        <v>25.599696333301978</v>
      </c>
      <c r="J33" s="290">
        <f t="shared" ref="J33" si="18">J34-J32</f>
        <v>18.451950007436579</v>
      </c>
      <c r="K33" s="290">
        <f t="shared" ref="K33" si="19">K34-K32</f>
        <v>17.273195737420906</v>
      </c>
      <c r="L33" s="290">
        <f t="shared" ref="L33" si="20">L34-L32</f>
        <v>15.532637749609734</v>
      </c>
      <c r="M33" s="290">
        <f t="shared" ref="M33" si="21">M34-M32</f>
        <v>13.354782833796094</v>
      </c>
      <c r="N33" s="290">
        <f t="shared" ref="N33" si="22">N34-N32</f>
        <v>10.893809669134498</v>
      </c>
      <c r="O33" s="290">
        <f t="shared" ref="O33" si="23">O34-O32</f>
        <v>8.3157314533178237</v>
      </c>
      <c r="P33" s="290">
        <f t="shared" ref="P33" si="24">P34-P32</f>
        <v>5.7812634763607207</v>
      </c>
      <c r="Q33" s="290">
        <f t="shared" ref="Q33" si="25">Q34-Q32</f>
        <v>3.4318510476186646</v>
      </c>
      <c r="R33" s="290">
        <f t="shared" ref="R33" si="26">R34-R32</f>
        <v>1.3803787460521164</v>
      </c>
    </row>
    <row r="34" spans="2:18" ht="12.75" customHeight="1">
      <c r="B34" s="17" t="s">
        <v>374</v>
      </c>
      <c r="D34" s="291">
        <f>'Financial Statements'!C47</f>
        <v>62.399000000000001</v>
      </c>
      <c r="E34" s="291">
        <f>'Financial Statements'!D47</f>
        <v>77.001000000000005</v>
      </c>
      <c r="F34" s="291">
        <f>'Financial Statements'!E47</f>
        <v>132.90600000000001</v>
      </c>
      <c r="G34" s="291">
        <f>'Financial Statements'!F47</f>
        <v>124.76900000000001</v>
      </c>
      <c r="H34" s="291">
        <f>'Financial Statements'!G47</f>
        <v>120.173</v>
      </c>
      <c r="I34" s="290">
        <f>I10/I36</f>
        <v>145.77269633330198</v>
      </c>
      <c r="J34" s="290">
        <f>J10/J36</f>
        <v>164.22464634073856</v>
      </c>
      <c r="K34" s="290">
        <f>K10/K36</f>
        <v>181.49784207815947</v>
      </c>
      <c r="L34" s="290">
        <f>L10/L36</f>
        <v>197.0304798277692</v>
      </c>
      <c r="M34" s="290">
        <f>M10/M36</f>
        <v>210.38526266156529</v>
      </c>
      <c r="N34" s="290">
        <f>N10/N36</f>
        <v>221.27907233069979</v>
      </c>
      <c r="O34" s="290">
        <f>O10/O36</f>
        <v>229.59480378401761</v>
      </c>
      <c r="P34" s="290">
        <f>P10/P36</f>
        <v>235.37606726037833</v>
      </c>
      <c r="Q34" s="290">
        <f>Q10/Q36</f>
        <v>238.807918307997</v>
      </c>
      <c r="R34" s="290">
        <f>R10/R36</f>
        <v>240.18829705404912</v>
      </c>
    </row>
    <row r="35" spans="2:18" ht="12.75" customHeight="1"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</row>
    <row r="36" spans="2:18" ht="12.75" customHeight="1">
      <c r="B36" s="17" t="s">
        <v>375</v>
      </c>
      <c r="D36" s="290">
        <f>D$10/AVERAGE(D32,D34)</f>
        <v>70.544063206141118</v>
      </c>
      <c r="E36" s="290">
        <f t="shared" ref="E36:H36" si="27">E$10/AVERAGE(E32,E34)</f>
        <v>89.764949784791966</v>
      </c>
      <c r="F36" s="290">
        <f t="shared" si="27"/>
        <v>77.277251354171128</v>
      </c>
      <c r="G36" s="290">
        <f t="shared" si="27"/>
        <v>74.662097603570388</v>
      </c>
      <c r="H36" s="290">
        <f t="shared" si="27"/>
        <v>86.454148328992176</v>
      </c>
      <c r="I36" s="290">
        <v>82</v>
      </c>
      <c r="J36" s="290">
        <f t="shared" ref="J36:R36" si="28">I36</f>
        <v>82</v>
      </c>
      <c r="K36" s="290">
        <f t="shared" si="28"/>
        <v>82</v>
      </c>
      <c r="L36" s="290">
        <f t="shared" si="28"/>
        <v>82</v>
      </c>
      <c r="M36" s="290">
        <f t="shared" si="28"/>
        <v>82</v>
      </c>
      <c r="N36" s="290">
        <f t="shared" si="28"/>
        <v>82</v>
      </c>
      <c r="O36" s="290">
        <f t="shared" si="28"/>
        <v>82</v>
      </c>
      <c r="P36" s="290">
        <f t="shared" si="28"/>
        <v>82</v>
      </c>
      <c r="Q36" s="290">
        <f t="shared" si="28"/>
        <v>82</v>
      </c>
      <c r="R36" s="290">
        <f t="shared" si="28"/>
        <v>82</v>
      </c>
    </row>
    <row r="37" spans="2:18" ht="12.75" customHeight="1">
      <c r="B37" s="17" t="s">
        <v>376</v>
      </c>
      <c r="D37" s="290">
        <f>365/D36</f>
        <v>5.1740711182656316</v>
      </c>
      <c r="E37" s="290">
        <f t="shared" ref="E37" si="29">365/E36</f>
        <v>4.0661750591413854</v>
      </c>
      <c r="F37" s="290">
        <f t="shared" ref="F37" si="30">365/F36</f>
        <v>4.7232528797790723</v>
      </c>
      <c r="G37" s="290">
        <f t="shared" ref="G37" si="31">365/G36</f>
        <v>4.8886920099408711</v>
      </c>
      <c r="H37" s="290">
        <f t="shared" ref="H37" si="32">365/H36</f>
        <v>4.221891107075983</v>
      </c>
      <c r="I37" s="290">
        <f t="shared" ref="I37" si="33">365/I36</f>
        <v>4.4512195121951219</v>
      </c>
      <c r="J37" s="290">
        <f t="shared" ref="J37" si="34">365/J36</f>
        <v>4.4512195121951219</v>
      </c>
      <c r="K37" s="290">
        <f t="shared" ref="K37" si="35">365/K36</f>
        <v>4.4512195121951219</v>
      </c>
      <c r="L37" s="290">
        <f t="shared" ref="L37" si="36">365/L36</f>
        <v>4.4512195121951219</v>
      </c>
      <c r="M37" s="290">
        <f t="shared" ref="M37" si="37">365/M36</f>
        <v>4.4512195121951219</v>
      </c>
      <c r="N37" s="290">
        <f t="shared" ref="N37" si="38">365/N36</f>
        <v>4.4512195121951219</v>
      </c>
      <c r="O37" s="290">
        <f t="shared" ref="O37" si="39">365/O36</f>
        <v>4.4512195121951219</v>
      </c>
      <c r="P37" s="290">
        <f t="shared" ref="P37" si="40">365/P36</f>
        <v>4.4512195121951219</v>
      </c>
      <c r="Q37" s="290">
        <f t="shared" ref="Q37" si="41">365/Q36</f>
        <v>4.4512195121951219</v>
      </c>
      <c r="R37" s="290">
        <f t="shared" ref="R37" si="42">365/R36</f>
        <v>4.4512195121951219</v>
      </c>
    </row>
    <row r="38" spans="2:18" ht="12.75" customHeight="1"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</row>
    <row r="39" spans="2:18" ht="12.75" customHeight="1">
      <c r="B39" s="300" t="s">
        <v>75</v>
      </c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</row>
    <row r="40" spans="2:18" ht="12.75" customHeight="1">
      <c r="B40" s="17" t="s">
        <v>377</v>
      </c>
      <c r="D40" s="290"/>
      <c r="E40" s="296">
        <f>D42</f>
        <v>172.24600000000001</v>
      </c>
      <c r="F40" s="296">
        <f t="shared" ref="F40:R40" si="43">E42</f>
        <v>289.72800000000001</v>
      </c>
      <c r="G40" s="296">
        <f t="shared" si="43"/>
        <v>172.732</v>
      </c>
      <c r="H40" s="296">
        <f t="shared" si="43"/>
        <v>348.44099999999997</v>
      </c>
      <c r="I40" s="296">
        <f t="shared" si="43"/>
        <v>271.40600000000001</v>
      </c>
      <c r="J40" s="296">
        <f t="shared" si="43"/>
        <v>332.03780831474342</v>
      </c>
      <c r="K40" s="296">
        <f t="shared" si="43"/>
        <v>374.06724999834893</v>
      </c>
      <c r="L40" s="296">
        <f t="shared" si="43"/>
        <v>413.41175140025211</v>
      </c>
      <c r="M40" s="296">
        <f t="shared" si="43"/>
        <v>448.79164849658542</v>
      </c>
      <c r="N40" s="296">
        <f t="shared" si="43"/>
        <v>479.2108760624543</v>
      </c>
      <c r="O40" s="296">
        <f t="shared" si="43"/>
        <v>504.02455364214956</v>
      </c>
      <c r="P40" s="296">
        <f t="shared" si="43"/>
        <v>522.96594195248463</v>
      </c>
      <c r="Q40" s="296">
        <f t="shared" si="43"/>
        <v>536.13437542641736</v>
      </c>
      <c r="R40" s="296">
        <f t="shared" si="43"/>
        <v>543.95136947932644</v>
      </c>
    </row>
    <row r="41" spans="2:18" ht="12.75" customHeight="1">
      <c r="B41" s="17" t="s">
        <v>373</v>
      </c>
      <c r="D41" s="290"/>
      <c r="E41" s="290">
        <f>E42-E40</f>
        <v>117.482</v>
      </c>
      <c r="F41" s="290">
        <f t="shared" ref="F41" si="44">F42-F40</f>
        <v>-116.99600000000001</v>
      </c>
      <c r="G41" s="290">
        <f t="shared" ref="G41" si="45">G42-G40</f>
        <v>175.70899999999997</v>
      </c>
      <c r="H41" s="290">
        <f t="shared" ref="H41" si="46">H42-H40</f>
        <v>-77.034999999999968</v>
      </c>
      <c r="I41" s="290">
        <f t="shared" ref="I41" si="47">I42-I40</f>
        <v>60.631808314743409</v>
      </c>
      <c r="J41" s="290">
        <f t="shared" ref="J41" si="48">J42-J40</f>
        <v>42.029441683605512</v>
      </c>
      <c r="K41" s="290">
        <f t="shared" ref="K41" si="49">K42-K40</f>
        <v>39.344501401903187</v>
      </c>
      <c r="L41" s="290">
        <f t="shared" ref="L41" si="50">L42-L40</f>
        <v>35.379897096333309</v>
      </c>
      <c r="M41" s="290">
        <f t="shared" ref="M41" si="51">M42-M40</f>
        <v>30.41922756586888</v>
      </c>
      <c r="N41" s="290">
        <f t="shared" ref="N41" si="52">N42-N40</f>
        <v>24.813677579695252</v>
      </c>
      <c r="O41" s="290">
        <f t="shared" ref="O41" si="53">O42-O40</f>
        <v>18.941388310335071</v>
      </c>
      <c r="P41" s="290">
        <f t="shared" ref="P41" si="54">P42-P40</f>
        <v>13.168433473932737</v>
      </c>
      <c r="Q41" s="290">
        <f t="shared" ref="Q41" si="55">Q42-Q40</f>
        <v>7.8169940529090809</v>
      </c>
      <c r="R41" s="290">
        <f t="shared" ref="R41" si="56">R42-R40</f>
        <v>3.1441960326743583</v>
      </c>
    </row>
    <row r="42" spans="2:18" ht="12.75" customHeight="1">
      <c r="B42" s="17" t="s">
        <v>378</v>
      </c>
      <c r="D42" s="291">
        <f>'Financial Statements'!C65</f>
        <v>172.24600000000001</v>
      </c>
      <c r="E42" s="291">
        <f>'Financial Statements'!D65</f>
        <v>289.72800000000001</v>
      </c>
      <c r="F42" s="291">
        <f>'Financial Statements'!E65</f>
        <v>172.732</v>
      </c>
      <c r="G42" s="291">
        <f>'Financial Statements'!F65</f>
        <v>348.44099999999997</v>
      </c>
      <c r="H42" s="291">
        <f>'Financial Statements'!G65</f>
        <v>271.40600000000001</v>
      </c>
      <c r="I42" s="290">
        <f>I$10/I44</f>
        <v>332.03780831474342</v>
      </c>
      <c r="J42" s="290">
        <f t="shared" ref="J42:R42" si="57">J$10/J44</f>
        <v>374.06724999834893</v>
      </c>
      <c r="K42" s="290">
        <f t="shared" si="57"/>
        <v>413.41175140025211</v>
      </c>
      <c r="L42" s="290">
        <f t="shared" si="57"/>
        <v>448.79164849658542</v>
      </c>
      <c r="M42" s="290">
        <f t="shared" si="57"/>
        <v>479.2108760624543</v>
      </c>
      <c r="N42" s="290">
        <f t="shared" si="57"/>
        <v>504.02455364214956</v>
      </c>
      <c r="O42" s="290">
        <f t="shared" si="57"/>
        <v>522.96594195248463</v>
      </c>
      <c r="P42" s="290">
        <f t="shared" si="57"/>
        <v>536.13437542641736</v>
      </c>
      <c r="Q42" s="290">
        <f t="shared" si="57"/>
        <v>543.95136947932644</v>
      </c>
      <c r="R42" s="290">
        <f t="shared" si="57"/>
        <v>547.0955655120008</v>
      </c>
    </row>
    <row r="43" spans="2:18" ht="12.75" customHeight="1"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</row>
    <row r="44" spans="2:18" ht="12.75" customHeight="1">
      <c r="B44" s="17" t="s">
        <v>379</v>
      </c>
      <c r="D44" s="290">
        <f>D$10/AVERAGE(D40,D42)</f>
        <v>25.555769074463267</v>
      </c>
      <c r="E44" s="290">
        <f t="shared" ref="E44:H44" si="58">E$10/AVERAGE(E40,E42)</f>
        <v>27.086446423391791</v>
      </c>
      <c r="F44" s="290">
        <f t="shared" si="58"/>
        <v>35.0755438308178</v>
      </c>
      <c r="G44" s="290">
        <f t="shared" si="58"/>
        <v>36.913953715944608</v>
      </c>
      <c r="H44" s="290">
        <f t="shared" si="58"/>
        <v>34.163675874852991</v>
      </c>
      <c r="I44" s="290">
        <v>36</v>
      </c>
      <c r="J44" s="290">
        <f t="shared" ref="J44:R44" si="59">I44</f>
        <v>36</v>
      </c>
      <c r="K44" s="290">
        <f t="shared" si="59"/>
        <v>36</v>
      </c>
      <c r="L44" s="290">
        <f t="shared" si="59"/>
        <v>36</v>
      </c>
      <c r="M44" s="290">
        <f t="shared" si="59"/>
        <v>36</v>
      </c>
      <c r="N44" s="290">
        <f t="shared" si="59"/>
        <v>36</v>
      </c>
      <c r="O44" s="290">
        <f t="shared" si="59"/>
        <v>36</v>
      </c>
      <c r="P44" s="290">
        <f t="shared" si="59"/>
        <v>36</v>
      </c>
      <c r="Q44" s="290">
        <f t="shared" si="59"/>
        <v>36</v>
      </c>
      <c r="R44" s="290">
        <f t="shared" si="59"/>
        <v>36</v>
      </c>
    </row>
    <row r="45" spans="2:18" ht="12.75" customHeight="1">
      <c r="B45" s="17" t="s">
        <v>380</v>
      </c>
      <c r="D45" s="290">
        <f>365/D44</f>
        <v>14.28248936420106</v>
      </c>
      <c r="E45" s="290">
        <f t="shared" ref="E45" si="60">365/E44</f>
        <v>13.475374151877924</v>
      </c>
      <c r="F45" s="290">
        <f t="shared" ref="F45" si="61">365/F44</f>
        <v>10.406110929043002</v>
      </c>
      <c r="G45" s="290">
        <f t="shared" ref="G45" si="62">365/G44</f>
        <v>9.8878598269017708</v>
      </c>
      <c r="H45" s="290">
        <f t="shared" ref="H45" si="63">365/H44</f>
        <v>10.683862045087109</v>
      </c>
      <c r="I45" s="290">
        <f t="shared" ref="I45:J45" si="64">365/I44</f>
        <v>10.138888888888889</v>
      </c>
      <c r="J45" s="290">
        <f t="shared" si="64"/>
        <v>10.138888888888889</v>
      </c>
      <c r="K45" s="290">
        <f t="shared" ref="K45" si="65">365/K44</f>
        <v>10.138888888888889</v>
      </c>
      <c r="L45" s="290">
        <f t="shared" ref="L45" si="66">365/L44</f>
        <v>10.138888888888889</v>
      </c>
      <c r="M45" s="290">
        <f t="shared" ref="M45" si="67">365/M44</f>
        <v>10.138888888888889</v>
      </c>
      <c r="N45" s="290">
        <f t="shared" ref="N45" si="68">365/N44</f>
        <v>10.138888888888889</v>
      </c>
      <c r="O45" s="290">
        <f t="shared" ref="O45" si="69">365/O44</f>
        <v>10.138888888888889</v>
      </c>
      <c r="P45" s="290">
        <f t="shared" ref="P45" si="70">365/P44</f>
        <v>10.138888888888889</v>
      </c>
      <c r="Q45" s="290">
        <f t="shared" ref="Q45" si="71">365/Q44</f>
        <v>10.138888888888889</v>
      </c>
      <c r="R45" s="290">
        <f t="shared" ref="R45" si="72">365/R44</f>
        <v>10.138888888888889</v>
      </c>
    </row>
    <row r="46" spans="2:18" ht="12.75" customHeight="1"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</row>
    <row r="47" spans="2:18" ht="12.75" customHeight="1">
      <c r="B47" s="300" t="s">
        <v>232</v>
      </c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</row>
    <row r="48" spans="2:18" ht="12.75" customHeight="1">
      <c r="B48" s="17" t="s">
        <v>381</v>
      </c>
      <c r="D48" s="290"/>
      <c r="E48" s="296">
        <f>D50</f>
        <v>647.23</v>
      </c>
      <c r="F48" s="296">
        <f t="shared" ref="F48:H48" si="73">E50</f>
        <v>966.48099999999999</v>
      </c>
      <c r="G48" s="296">
        <f t="shared" si="73"/>
        <v>1447.367</v>
      </c>
      <c r="H48" s="296">
        <f t="shared" si="73"/>
        <v>1323.6020000000001</v>
      </c>
      <c r="I48" s="296">
        <f t="shared" ref="I48:R48" si="74">H50</f>
        <v>1442.0809999999999</v>
      </c>
      <c r="J48" s="296">
        <f t="shared" si="74"/>
        <v>1561.1453615720291</v>
      </c>
      <c r="K48" s="296">
        <f t="shared" si="74"/>
        <v>1758.7555923672712</v>
      </c>
      <c r="L48" s="296">
        <f t="shared" si="74"/>
        <v>1943.742013578443</v>
      </c>
      <c r="M48" s="296">
        <f t="shared" si="74"/>
        <v>2110.0880165386843</v>
      </c>
      <c r="N48" s="296">
        <f t="shared" si="74"/>
        <v>2253.1103917859177</v>
      </c>
      <c r="O48" s="296">
        <f t="shared" si="74"/>
        <v>2369.7770986699875</v>
      </c>
      <c r="P48" s="296">
        <f t="shared" si="74"/>
        <v>2458.834006533878</v>
      </c>
      <c r="Q48" s="296">
        <f t="shared" si="74"/>
        <v>2520.7481570378254</v>
      </c>
      <c r="R48" s="296">
        <f t="shared" si="74"/>
        <v>2557.5013932703914</v>
      </c>
    </row>
    <row r="49" spans="2:18" ht="12.75" customHeight="1">
      <c r="B49" s="17" t="s">
        <v>373</v>
      </c>
      <c r="D49" s="290"/>
      <c r="E49" s="290">
        <f>E50-E48</f>
        <v>319.25099999999998</v>
      </c>
      <c r="F49" s="290">
        <f t="shared" ref="F49" si="75">F50-F48</f>
        <v>480.88599999999997</v>
      </c>
      <c r="G49" s="290">
        <f t="shared" ref="G49" si="76">G50-G48</f>
        <v>-123.76499999999987</v>
      </c>
      <c r="H49" s="290">
        <f t="shared" ref="H49" si="77">H50-H48</f>
        <v>118.47899999999981</v>
      </c>
      <c r="I49" s="290">
        <f t="shared" ref="I49" si="78">I50-I48</f>
        <v>119.06436157202916</v>
      </c>
      <c r="J49" s="290">
        <f t="shared" ref="J49" si="79">J50-J48</f>
        <v>197.61023079524216</v>
      </c>
      <c r="K49" s="290">
        <f t="shared" ref="K49" si="80">K50-K48</f>
        <v>184.98642121117177</v>
      </c>
      <c r="L49" s="290">
        <f t="shared" ref="L49" si="81">L50-L48</f>
        <v>166.34600296024132</v>
      </c>
      <c r="M49" s="290">
        <f t="shared" ref="M49" si="82">M50-M48</f>
        <v>143.02237524723341</v>
      </c>
      <c r="N49" s="290">
        <f t="shared" ref="N49" si="83">N50-N48</f>
        <v>116.66670688406975</v>
      </c>
      <c r="O49" s="290">
        <f t="shared" ref="O49" si="84">O50-O48</f>
        <v>89.056907863890501</v>
      </c>
      <c r="P49" s="290">
        <f t="shared" ref="P49" si="85">P50-P48</f>
        <v>61.91415050394744</v>
      </c>
      <c r="Q49" s="290">
        <f t="shared" ref="Q49" si="86">Q50-Q48</f>
        <v>36.753236232565996</v>
      </c>
      <c r="R49" s="290">
        <f t="shared" ref="R49" si="87">R50-R48</f>
        <v>14.78309677200923</v>
      </c>
    </row>
    <row r="50" spans="2:18" ht="12.75" customHeight="1">
      <c r="B50" s="17" t="s">
        <v>382</v>
      </c>
      <c r="D50" s="291">
        <f>'Financial Statements'!C48</f>
        <v>647.23</v>
      </c>
      <c r="E50" s="291">
        <f>'Financial Statements'!D48</f>
        <v>966.48099999999999</v>
      </c>
      <c r="F50" s="291">
        <f>'Financial Statements'!E48</f>
        <v>1447.367</v>
      </c>
      <c r="G50" s="291">
        <f>'Financial Statements'!F48</f>
        <v>1323.6020000000001</v>
      </c>
      <c r="H50" s="291">
        <f>'Financial Statements'!G48</f>
        <v>1442.0809999999999</v>
      </c>
      <c r="I50" s="290">
        <f>I$10/I52</f>
        <v>1561.1453615720291</v>
      </c>
      <c r="J50" s="290">
        <f t="shared" ref="J50:R50" si="88">J$10/J52</f>
        <v>1758.7555923672712</v>
      </c>
      <c r="K50" s="290">
        <f t="shared" si="88"/>
        <v>1943.742013578443</v>
      </c>
      <c r="L50" s="290">
        <f t="shared" si="88"/>
        <v>2110.0880165386843</v>
      </c>
      <c r="M50" s="290">
        <f t="shared" si="88"/>
        <v>2253.1103917859177</v>
      </c>
      <c r="N50" s="290">
        <f t="shared" si="88"/>
        <v>2369.7770986699875</v>
      </c>
      <c r="O50" s="290">
        <f t="shared" si="88"/>
        <v>2458.834006533878</v>
      </c>
      <c r="P50" s="290">
        <f t="shared" si="88"/>
        <v>2520.7481570378254</v>
      </c>
      <c r="Q50" s="290">
        <f t="shared" si="88"/>
        <v>2557.5013932703914</v>
      </c>
      <c r="R50" s="290">
        <f t="shared" si="88"/>
        <v>2572.2844900424006</v>
      </c>
    </row>
    <row r="51" spans="2:18" ht="12.75" customHeight="1"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</row>
    <row r="52" spans="2:18" ht="12.75" customHeight="1">
      <c r="B52" s="17" t="s">
        <v>383</v>
      </c>
      <c r="D52" s="290">
        <f>D$10/AVERAGE(D48,D50)</f>
        <v>6.8011047077545843</v>
      </c>
      <c r="E52" s="290">
        <f t="shared" ref="E52:H52" si="89">E$10/AVERAGE(E48,E50)</f>
        <v>7.7543215606759821</v>
      </c>
      <c r="F52" s="290">
        <f t="shared" si="89"/>
        <v>6.7199906539268426</v>
      </c>
      <c r="G52" s="290">
        <f t="shared" si="89"/>
        <v>6.9428983146328953</v>
      </c>
      <c r="H52" s="290">
        <f t="shared" si="89"/>
        <v>7.6567892994244096</v>
      </c>
      <c r="I52" s="290">
        <f>H52</f>
        <v>7.6567892994244096</v>
      </c>
      <c r="J52" s="290">
        <f t="shared" ref="J52:R52" si="90">I52</f>
        <v>7.6567892994244096</v>
      </c>
      <c r="K52" s="290">
        <f t="shared" si="90"/>
        <v>7.6567892994244096</v>
      </c>
      <c r="L52" s="290">
        <f t="shared" si="90"/>
        <v>7.6567892994244096</v>
      </c>
      <c r="M52" s="290">
        <f t="shared" si="90"/>
        <v>7.6567892994244096</v>
      </c>
      <c r="N52" s="290">
        <f t="shared" si="90"/>
        <v>7.6567892994244096</v>
      </c>
      <c r="O52" s="290">
        <f t="shared" si="90"/>
        <v>7.6567892994244096</v>
      </c>
      <c r="P52" s="290">
        <f t="shared" si="90"/>
        <v>7.6567892994244096</v>
      </c>
      <c r="Q52" s="290">
        <f t="shared" si="90"/>
        <v>7.6567892994244096</v>
      </c>
      <c r="R52" s="290">
        <f t="shared" si="90"/>
        <v>7.6567892994244096</v>
      </c>
    </row>
    <row r="53" spans="2:18" ht="12.75" customHeight="1">
      <c r="B53" s="17" t="s">
        <v>384</v>
      </c>
      <c r="D53" s="290">
        <f>365/D52</f>
        <v>53.667751885047274</v>
      </c>
      <c r="E53" s="290">
        <f t="shared" ref="E53" si="91">365/E52</f>
        <v>47.070526691980668</v>
      </c>
      <c r="F53" s="290">
        <f t="shared" ref="F53" si="92">365/F52</f>
        <v>54.315551731714294</v>
      </c>
      <c r="G53" s="290">
        <f t="shared" ref="G53" si="93">365/G52</f>
        <v>52.571704705904125</v>
      </c>
      <c r="H53" s="290">
        <f t="shared" ref="H53" si="94">365/H52</f>
        <v>47.670111547595866</v>
      </c>
      <c r="I53" s="290">
        <f t="shared" ref="I53" si="95">365/I52</f>
        <v>47.670111547595866</v>
      </c>
      <c r="J53" s="290">
        <f t="shared" ref="J53" si="96">365/J52</f>
        <v>47.670111547595866</v>
      </c>
      <c r="K53" s="290">
        <f t="shared" ref="K53" si="97">365/K52</f>
        <v>47.670111547595866</v>
      </c>
      <c r="L53" s="290">
        <f t="shared" ref="L53" si="98">365/L52</f>
        <v>47.670111547595866</v>
      </c>
      <c r="M53" s="290">
        <f t="shared" ref="M53" si="99">365/M52</f>
        <v>47.670111547595866</v>
      </c>
      <c r="N53" s="290">
        <f t="shared" ref="N53" si="100">365/N52</f>
        <v>47.670111547595866</v>
      </c>
      <c r="O53" s="290">
        <f t="shared" ref="O53" si="101">365/O52</f>
        <v>47.670111547595866</v>
      </c>
      <c r="P53" s="290">
        <f t="shared" ref="P53" si="102">365/P52</f>
        <v>47.670111547595866</v>
      </c>
      <c r="Q53" s="290">
        <f t="shared" ref="Q53" si="103">365/Q52</f>
        <v>47.670111547595866</v>
      </c>
      <c r="R53" s="290">
        <f t="shared" ref="R53" si="104">365/R52</f>
        <v>47.670111547595866</v>
      </c>
    </row>
    <row r="54" spans="2:18" ht="12.75" customHeight="1"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</row>
    <row r="55" spans="2:18" ht="12.75" customHeight="1">
      <c r="B55" s="17" t="s">
        <v>415</v>
      </c>
      <c r="D55" s="296"/>
      <c r="E55" s="294">
        <f>'Financial Statements'!C47-'Financial Statements'!D47</f>
        <v>-14.602000000000004</v>
      </c>
      <c r="F55" s="294">
        <f>'Financial Statements'!D47-'Financial Statements'!E47</f>
        <v>-55.905000000000001</v>
      </c>
      <c r="G55" s="294">
        <f>'Financial Statements'!E47-'Financial Statements'!F47</f>
        <v>8.1370000000000005</v>
      </c>
      <c r="H55" s="294">
        <f>'Financial Statements'!F47-'Financial Statements'!G47</f>
        <v>4.5960000000000036</v>
      </c>
      <c r="I55" s="294">
        <f>'Financial Statements'!G47-'Financial Statements'!H47</f>
        <v>-25.599696333301978</v>
      </c>
      <c r="J55" s="294">
        <f>'Financial Statements'!H47-'Financial Statements'!I47</f>
        <v>-18.451950007436579</v>
      </c>
      <c r="K55" s="294">
        <f>'Financial Statements'!I47-'Financial Statements'!J47</f>
        <v>-17.273195737420906</v>
      </c>
      <c r="L55" s="294">
        <f>'Financial Statements'!J47-'Financial Statements'!K47</f>
        <v>-15.532637749609734</v>
      </c>
      <c r="M55" s="294">
        <f>'Financial Statements'!K47-'Financial Statements'!L47</f>
        <v>-13.354782833796094</v>
      </c>
      <c r="N55" s="294">
        <f>'Financial Statements'!L47-'Financial Statements'!M47</f>
        <v>-10.893809669134498</v>
      </c>
      <c r="O55" s="294">
        <f>'Financial Statements'!M47-'Financial Statements'!N47</f>
        <v>-8.3157314533178237</v>
      </c>
      <c r="P55" s="294">
        <f>'Financial Statements'!N47-'Financial Statements'!O47</f>
        <v>-5.7812634763607207</v>
      </c>
      <c r="Q55" s="294">
        <f>'Financial Statements'!O47-'Financial Statements'!P47</f>
        <v>-3.4318510476186646</v>
      </c>
      <c r="R55" s="294">
        <f>'Financial Statements'!P47-'Financial Statements'!Q47</f>
        <v>-1.3803787460521164</v>
      </c>
    </row>
    <row r="56" spans="2:18" ht="12.75" customHeight="1">
      <c r="B56" s="17" t="s">
        <v>416</v>
      </c>
      <c r="D56" s="296"/>
      <c r="E56" s="294">
        <f>'Financial Statements'!C48-'Financial Statements'!D48</f>
        <v>-319.25099999999998</v>
      </c>
      <c r="F56" s="294">
        <f>'Financial Statements'!D48-'Financial Statements'!E48</f>
        <v>-480.88599999999997</v>
      </c>
      <c r="G56" s="294">
        <f>'Financial Statements'!E48-'Financial Statements'!F48</f>
        <v>123.76499999999987</v>
      </c>
      <c r="H56" s="294">
        <f>'Financial Statements'!F48-'Financial Statements'!G48</f>
        <v>-118.47899999999981</v>
      </c>
      <c r="I56" s="294">
        <f>'Financial Statements'!G48-'Financial Statements'!H48</f>
        <v>-119.06436157202916</v>
      </c>
      <c r="J56" s="294">
        <f>'Financial Statements'!H48-'Financial Statements'!I48</f>
        <v>-197.61023079524216</v>
      </c>
      <c r="K56" s="294">
        <f>'Financial Statements'!I48-'Financial Statements'!J48</f>
        <v>-184.98642121117177</v>
      </c>
      <c r="L56" s="294">
        <f>'Financial Statements'!J48-'Financial Statements'!K48</f>
        <v>-166.34600296024132</v>
      </c>
      <c r="M56" s="294">
        <f>'Financial Statements'!K48-'Financial Statements'!L48</f>
        <v>-143.02237524723341</v>
      </c>
      <c r="N56" s="294">
        <f>'Financial Statements'!L48-'Financial Statements'!M48</f>
        <v>-116.66670688406975</v>
      </c>
      <c r="O56" s="294">
        <f>'Financial Statements'!M48-'Financial Statements'!N48</f>
        <v>-89.056907863890501</v>
      </c>
      <c r="P56" s="294">
        <f>'Financial Statements'!N48-'Financial Statements'!O48</f>
        <v>-61.91415050394744</v>
      </c>
      <c r="Q56" s="294">
        <f>'Financial Statements'!O48-'Financial Statements'!P48</f>
        <v>-36.753236232565996</v>
      </c>
      <c r="R56" s="294">
        <f>'Financial Statements'!P48-'Financial Statements'!Q48</f>
        <v>-14.78309677200923</v>
      </c>
    </row>
    <row r="57" spans="2:18" ht="12.75" customHeight="1">
      <c r="B57" s="17" t="s">
        <v>421</v>
      </c>
      <c r="D57" s="290"/>
      <c r="E57" s="290">
        <f>SUM('Financial Statements'!C49:C50)-SUM('Financial Statements'!D49:D50)</f>
        <v>-47.266999999999996</v>
      </c>
      <c r="F57" s="290">
        <f>SUM('Financial Statements'!D49:D50)-SUM('Financial Statements'!E49:E50)</f>
        <v>-112.81299999999999</v>
      </c>
      <c r="G57" s="290">
        <f>SUM('Financial Statements'!E49:E50)-SUM('Financial Statements'!F49:F50)</f>
        <v>56.077999999999975</v>
      </c>
      <c r="H57" s="290">
        <f>SUM('Financial Statements'!F49:F50)-SUM('Financial Statements'!G49:G50)</f>
        <v>-65.476999999999975</v>
      </c>
      <c r="I57" s="290">
        <f>SUM('Financial Statements'!G49:G50)-SUM('Financial Statements'!H49:H50)</f>
        <v>-44.422443973230486</v>
      </c>
      <c r="J57" s="290">
        <f>SUM('Financial Statements'!H49:H50)-SUM('Financial Statements'!I49:I50)</f>
        <v>-60.522396024391981</v>
      </c>
      <c r="K57" s="290">
        <f>SUM('Financial Statements'!I49:I50)-SUM('Financial Statements'!J49:J50)</f>
        <v>-56.656082018740562</v>
      </c>
      <c r="L57" s="290">
        <f>SUM('Financial Statements'!J49:J50)-SUM('Financial Statements'!K49:K50)</f>
        <v>-50.947051818719956</v>
      </c>
      <c r="M57" s="290">
        <f>SUM('Financial Statements'!K49:K50)-SUM('Financial Statements'!L49:L50)</f>
        <v>-43.803687694851078</v>
      </c>
      <c r="N57" s="290">
        <f>SUM('Financial Statements'!L49:L50)-SUM('Financial Statements'!M49:M50)</f>
        <v>-35.731695714761258</v>
      </c>
      <c r="O57" s="290">
        <f>SUM('Financial Statements'!M49:M50)-SUM('Financial Statements'!N49:N50)</f>
        <v>-27.275599166882444</v>
      </c>
      <c r="P57" s="290">
        <f>SUM('Financial Statements'!N49:N50)-SUM('Financial Statements'!O49:O50)</f>
        <v>-18.962544202463164</v>
      </c>
      <c r="Q57" s="290">
        <f>SUM('Financial Statements'!O49:O50)-SUM('Financial Statements'!P49:P50)</f>
        <v>-70.003219339956445</v>
      </c>
      <c r="R57" s="290">
        <f>SUM('Financial Statements'!P49:P50)-SUM('Financial Statements'!Q49:Q50)</f>
        <v>-63.953536533875877</v>
      </c>
    </row>
    <row r="58" spans="2:18" ht="12.75" customHeight="1">
      <c r="B58" s="17" t="s">
        <v>417</v>
      </c>
      <c r="D58" s="290"/>
      <c r="E58" s="290">
        <f t="shared" ref="E58:R58" si="105">SUM(E55:E57)</f>
        <v>-381.11999999999995</v>
      </c>
      <c r="F58" s="290">
        <f t="shared" si="105"/>
        <v>-649.60399999999993</v>
      </c>
      <c r="G58" s="290">
        <f t="shared" si="105"/>
        <v>187.97999999999985</v>
      </c>
      <c r="H58" s="290">
        <f t="shared" si="105"/>
        <v>-179.35999999999979</v>
      </c>
      <c r="I58" s="290">
        <f t="shared" si="105"/>
        <v>-189.08650187856162</v>
      </c>
      <c r="J58" s="290">
        <f t="shared" si="105"/>
        <v>-276.58457682707069</v>
      </c>
      <c r="K58" s="290">
        <f t="shared" si="105"/>
        <v>-258.91569896733324</v>
      </c>
      <c r="L58" s="290">
        <f t="shared" si="105"/>
        <v>-232.82569252857101</v>
      </c>
      <c r="M58" s="290">
        <f t="shared" si="105"/>
        <v>-200.18084577588058</v>
      </c>
      <c r="N58" s="290">
        <f t="shared" si="105"/>
        <v>-163.29221226796551</v>
      </c>
      <c r="O58" s="290">
        <f t="shared" si="105"/>
        <v>-124.64823848409077</v>
      </c>
      <c r="P58" s="290">
        <f t="shared" si="105"/>
        <v>-86.657958182771324</v>
      </c>
      <c r="Q58" s="290">
        <f t="shared" si="105"/>
        <v>-110.18830662014111</v>
      </c>
      <c r="R58" s="290">
        <f t="shared" si="105"/>
        <v>-80.117012051937223</v>
      </c>
    </row>
    <row r="59" spans="2:18" ht="12.75" customHeight="1"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</row>
    <row r="60" spans="2:18" ht="12.75" customHeight="1">
      <c r="B60" s="17" t="s">
        <v>418</v>
      </c>
      <c r="D60" s="290"/>
      <c r="E60" s="290">
        <f>'Financial Statements'!D65-'Financial Statements'!C65</f>
        <v>117.482</v>
      </c>
      <c r="F60" s="290">
        <f>'Financial Statements'!E65-'Financial Statements'!D65</f>
        <v>-116.99600000000001</v>
      </c>
      <c r="G60" s="290">
        <f>'Financial Statements'!F65-'Financial Statements'!E65</f>
        <v>175.70899999999997</v>
      </c>
      <c r="H60" s="290">
        <f>'Financial Statements'!G65-'Financial Statements'!F65</f>
        <v>-77.034999999999968</v>
      </c>
      <c r="I60" s="290">
        <f>'Financial Statements'!H65-'Financial Statements'!G65</f>
        <v>60.631808314743409</v>
      </c>
      <c r="J60" s="290">
        <f>'Financial Statements'!I65-'Financial Statements'!H65</f>
        <v>42.029441683605512</v>
      </c>
      <c r="K60" s="290">
        <f>'Financial Statements'!J65-'Financial Statements'!I65</f>
        <v>39.344501401903187</v>
      </c>
      <c r="L60" s="290">
        <f>'Financial Statements'!K65-'Financial Statements'!J65</f>
        <v>35.379897096333309</v>
      </c>
      <c r="M60" s="290">
        <f>'Financial Statements'!L65-'Financial Statements'!K65</f>
        <v>30.41922756586888</v>
      </c>
      <c r="N60" s="290">
        <f>'Financial Statements'!M65-'Financial Statements'!L65</f>
        <v>24.813677579695252</v>
      </c>
      <c r="O60" s="290">
        <f>'Financial Statements'!N65-'Financial Statements'!M65</f>
        <v>18.941388310335071</v>
      </c>
      <c r="P60" s="290">
        <f>'Financial Statements'!O65-'Financial Statements'!N65</f>
        <v>13.168433473932737</v>
      </c>
      <c r="Q60" s="290">
        <f>'Financial Statements'!P65-'Financial Statements'!O65</f>
        <v>7.8169940529090809</v>
      </c>
      <c r="R60" s="290">
        <f>'Financial Statements'!Q65-'Financial Statements'!P65</f>
        <v>3.1441960326743583</v>
      </c>
    </row>
    <row r="61" spans="2:18" ht="12.75" customHeight="1">
      <c r="B61" s="17" t="s">
        <v>419</v>
      </c>
      <c r="D61" s="290"/>
      <c r="E61" s="290">
        <f>'Financial Statements'!D66-'Financial Statements'!C66</f>
        <v>103.93300000000002</v>
      </c>
      <c r="F61" s="290">
        <f>'Financial Statements'!E66-'Financial Statements'!D66</f>
        <v>68.423000000000002</v>
      </c>
      <c r="G61" s="290">
        <f>'Financial Statements'!F66-'Financial Statements'!E66</f>
        <v>-50.668000000000006</v>
      </c>
      <c r="H61" s="290">
        <f>'Financial Statements'!G66-'Financial Statements'!F66</f>
        <v>210.90799999999996</v>
      </c>
      <c r="I61" s="290">
        <f>'Financial Statements'!H66-'Financial Statements'!G66</f>
        <v>-27.873125190562178</v>
      </c>
      <c r="J61" s="290">
        <f>'Financial Statements'!I66-'Financial Statements'!H66</f>
        <v>58.481760565957757</v>
      </c>
      <c r="K61" s="290">
        <f>'Financial Statements'!J66-'Financial Statements'!I66</f>
        <v>55.574994197451019</v>
      </c>
      <c r="L61" s="290">
        <f>'Financial Statements'!K66-'Financial Statements'!J66</f>
        <v>51.732508192591467</v>
      </c>
      <c r="M61" s="290">
        <f>'Financial Statements'!L66-'Financial Statements'!K66</f>
        <v>43.50771243617578</v>
      </c>
      <c r="N61" s="290">
        <f>'Financial Statements'!M66-'Financial Statements'!L66</f>
        <v>34.407750407169715</v>
      </c>
      <c r="O61" s="290">
        <f>'Financial Statements'!N66-'Financial Statements'!M66</f>
        <v>29.135795030063832</v>
      </c>
      <c r="P61" s="290">
        <f>'Financial Statements'!O66-'Financial Statements'!N66</f>
        <v>20.255789717071252</v>
      </c>
      <c r="Q61" s="290">
        <f>'Financial Statements'!P66-'Financial Statements'!O66</f>
        <v>12.024162788137232</v>
      </c>
      <c r="R61" s="290">
        <f>'Financial Statements'!Q66-'Financial Statements'!P66</f>
        <v>4.8364274910278482</v>
      </c>
    </row>
    <row r="62" spans="2:18" ht="12.75" customHeight="1">
      <c r="B62" s="17" t="s">
        <v>422</v>
      </c>
      <c r="D62" s="290"/>
      <c r="E62" s="290">
        <f>SUM('Financial Statements'!D67:D71)-SUM('Financial Statements'!C67:C71)</f>
        <v>300.74099999999987</v>
      </c>
      <c r="F62" s="290">
        <f>SUM('Financial Statements'!E67:E71)-SUM('Financial Statements'!D67:D71)</f>
        <v>135.43700000000001</v>
      </c>
      <c r="G62" s="290">
        <f>SUM('Financial Statements'!F67:F71)-SUM('Financial Statements'!E67:E71)</f>
        <v>14.021999999999935</v>
      </c>
      <c r="H62" s="290">
        <f>SUM('Financial Statements'!G67:G71)-SUM('Financial Statements'!F67:F71)</f>
        <v>74.496000000000095</v>
      </c>
      <c r="I62" s="290">
        <f>SUM('Financial Statements'!H67:H71)-SUM('Financial Statements'!G67:G71)</f>
        <v>269.26094524791847</v>
      </c>
      <c r="J62" s="290">
        <f>SUM('Financial Statements'!I67:I71)-SUM('Financial Statements'!H67:H71)</f>
        <v>110.92342947997486</v>
      </c>
      <c r="K62" s="290">
        <f>SUM('Financial Statements'!J67:J71)-SUM('Financial Statements'!I67:I71)</f>
        <v>103.16033547691632</v>
      </c>
      <c r="L62" s="290">
        <f>SUM('Financial Statements'!K67:K71)-SUM('Financial Statements'!J67:J71)</f>
        <v>91.330128251227507</v>
      </c>
      <c r="M62" s="290">
        <f>SUM('Financial Statements'!L67:L71)-SUM('Financial Statements'!K67:K71)</f>
        <v>79.317672279851195</v>
      </c>
      <c r="N62" s="290">
        <f>SUM('Financial Statements'!M67:M71)-SUM('Financial Statements'!L67:L71)</f>
        <v>65.585171531568449</v>
      </c>
      <c r="O62" s="290">
        <f>SUM('Financial Statements'!N67:N71)-SUM('Financial Statements'!M67:M71)</f>
        <v>47.72002452241918</v>
      </c>
      <c r="P62" s="290">
        <f>SUM('Financial Statements'!O67:O71)-SUM('Financial Statements'!N67:N71)</f>
        <v>33.175919209419362</v>
      </c>
      <c r="Q62" s="290">
        <f>SUM('Financial Statements'!P67:P71)-SUM('Financial Statements'!O67:O71)</f>
        <v>19.693759601185093</v>
      </c>
      <c r="R62" s="290">
        <f>SUM('Financial Statements'!Q67:Q71)-SUM('Financial Statements'!P67:P71)</f>
        <v>7.921336563309751</v>
      </c>
    </row>
    <row r="63" spans="2:18" ht="12.75" customHeight="1">
      <c r="B63" s="17" t="s">
        <v>420</v>
      </c>
      <c r="D63" s="290"/>
      <c r="E63" s="290">
        <f t="shared" ref="E63:R63" si="106">SUM(E60:E62)</f>
        <v>522.15599999999995</v>
      </c>
      <c r="F63" s="290">
        <f t="shared" si="106"/>
        <v>86.864000000000004</v>
      </c>
      <c r="G63" s="290">
        <f t="shared" si="106"/>
        <v>139.0629999999999</v>
      </c>
      <c r="H63" s="290">
        <f t="shared" si="106"/>
        <v>208.36900000000009</v>
      </c>
      <c r="I63" s="290">
        <f t="shared" si="106"/>
        <v>302.0196283720997</v>
      </c>
      <c r="J63" s="290">
        <f t="shared" si="106"/>
        <v>211.43463172953813</v>
      </c>
      <c r="K63" s="290">
        <f t="shared" si="106"/>
        <v>198.07983107627052</v>
      </c>
      <c r="L63" s="290">
        <f t="shared" si="106"/>
        <v>178.44253354015228</v>
      </c>
      <c r="M63" s="290">
        <f t="shared" si="106"/>
        <v>153.24461228189585</v>
      </c>
      <c r="N63" s="290">
        <f t="shared" si="106"/>
        <v>124.80659951843342</v>
      </c>
      <c r="O63" s="290">
        <f t="shared" si="106"/>
        <v>95.797207862818084</v>
      </c>
      <c r="P63" s="290">
        <f t="shared" si="106"/>
        <v>66.600142400423351</v>
      </c>
      <c r="Q63" s="290">
        <f t="shared" si="106"/>
        <v>39.534916442231406</v>
      </c>
      <c r="R63" s="290">
        <f t="shared" si="106"/>
        <v>15.901960087011958</v>
      </c>
    </row>
    <row r="64" spans="2:18" ht="12.75" customHeight="1"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</row>
    <row r="65" spans="1:19" ht="12.75" customHeight="1">
      <c r="B65" s="17" t="s">
        <v>91</v>
      </c>
      <c r="D65" s="290"/>
      <c r="E65" s="290">
        <f t="shared" ref="E65:P65" si="107">E58+E63</f>
        <v>141.036</v>
      </c>
      <c r="F65" s="290">
        <f t="shared" si="107"/>
        <v>-562.7399999999999</v>
      </c>
      <c r="G65" s="290">
        <f t="shared" si="107"/>
        <v>327.04299999999978</v>
      </c>
      <c r="H65" s="290">
        <f t="shared" si="107"/>
        <v>29.009000000000299</v>
      </c>
      <c r="I65" s="290">
        <f t="shared" si="107"/>
        <v>112.93312649353808</v>
      </c>
      <c r="J65" s="290">
        <f t="shared" si="107"/>
        <v>-65.149945097532566</v>
      </c>
      <c r="K65" s="290">
        <f t="shared" si="107"/>
        <v>-60.835867891062719</v>
      </c>
      <c r="L65" s="290">
        <f t="shared" si="107"/>
        <v>-54.383158988418728</v>
      </c>
      <c r="M65" s="290">
        <f t="shared" si="107"/>
        <v>-46.93623349398473</v>
      </c>
      <c r="N65" s="290">
        <f t="shared" si="107"/>
        <v>-38.485612749532095</v>
      </c>
      <c r="O65" s="290">
        <f t="shared" si="107"/>
        <v>-28.851030621272685</v>
      </c>
      <c r="P65" s="290">
        <f t="shared" si="107"/>
        <v>-20.057815782347973</v>
      </c>
      <c r="Q65" s="290">
        <f t="shared" ref="Q65:R65" si="108">Q58+Q63</f>
        <v>-70.653390177909699</v>
      </c>
      <c r="R65" s="290">
        <f t="shared" si="108"/>
        <v>-64.215051964925266</v>
      </c>
    </row>
    <row r="66" spans="1:19" ht="12.75" customHeight="1"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</row>
    <row r="67" spans="1:19" ht="13.2">
      <c r="A67" s="120"/>
      <c r="B67" s="32" t="s">
        <v>423</v>
      </c>
      <c r="C67" s="120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120"/>
    </row>
    <row r="68" spans="1:19" ht="12.75" customHeight="1"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</row>
    <row r="69" spans="1:19" ht="12.75" customHeight="1">
      <c r="B69" s="17" t="s">
        <v>424</v>
      </c>
      <c r="D69" s="290"/>
      <c r="E69" s="290"/>
      <c r="F69" s="290"/>
      <c r="G69" s="290"/>
      <c r="H69" s="290"/>
      <c r="I69" s="330">
        <f>rf</f>
        <v>4.1119999999999997E-2</v>
      </c>
      <c r="J69" s="290"/>
      <c r="K69" s="290"/>
      <c r="L69" s="290"/>
      <c r="M69" s="290"/>
      <c r="N69" s="290"/>
      <c r="O69" s="290"/>
      <c r="P69" s="290"/>
      <c r="Q69" s="290"/>
      <c r="R69" s="290"/>
    </row>
    <row r="70" spans="1:19" ht="12.75" customHeight="1">
      <c r="B70" s="17" t="s">
        <v>425</v>
      </c>
      <c r="D70" s="290"/>
      <c r="E70" s="290"/>
      <c r="F70" s="290"/>
      <c r="G70" s="290"/>
      <c r="H70" s="290"/>
      <c r="I70" s="331">
        <v>0.01</v>
      </c>
      <c r="J70" s="290"/>
      <c r="K70" s="290"/>
      <c r="L70" s="290"/>
      <c r="M70" s="290"/>
      <c r="N70" s="290"/>
      <c r="O70" s="290"/>
      <c r="P70" s="290"/>
      <c r="Q70" s="290"/>
      <c r="R70" s="290"/>
    </row>
    <row r="71" spans="1:19" ht="12.75" customHeight="1">
      <c r="B71" s="17" t="s">
        <v>110</v>
      </c>
      <c r="D71" s="290"/>
      <c r="E71" s="290"/>
      <c r="F71" s="290"/>
      <c r="G71" s="290"/>
      <c r="H71" s="290"/>
      <c r="I71" s="292">
        <f>SUM(I69:I70)</f>
        <v>5.1119999999999999E-2</v>
      </c>
      <c r="J71" s="290"/>
      <c r="K71" s="290"/>
      <c r="L71" s="290"/>
      <c r="M71" s="290"/>
      <c r="N71" s="290"/>
      <c r="O71" s="290"/>
      <c r="P71" s="290"/>
      <c r="Q71" s="290"/>
      <c r="R71" s="290"/>
    </row>
    <row r="72" spans="1:19" ht="12.75" customHeight="1"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</row>
    <row r="73" spans="1:19" ht="12.75" customHeight="1"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0"/>
    </row>
    <row r="74" spans="1:19" ht="13.2">
      <c r="A74" s="120"/>
      <c r="B74" s="32" t="s">
        <v>370</v>
      </c>
      <c r="C74" s="120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120"/>
    </row>
    <row r="75" spans="1:19" ht="12.75" customHeight="1"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</row>
    <row r="76" spans="1:19" ht="12.75" customHeight="1">
      <c r="B76" s="17" t="s">
        <v>363</v>
      </c>
      <c r="D76" s="302">
        <v>671.69299999999998</v>
      </c>
      <c r="E76" s="291">
        <f>'Financial Statements'!C54</f>
        <v>745.68700000000001</v>
      </c>
      <c r="F76" s="291">
        <f>'Financial Statements'!D54</f>
        <v>927.71</v>
      </c>
      <c r="G76" s="291">
        <f>'Financial Statements'!E54</f>
        <v>1269.614</v>
      </c>
      <c r="H76" s="291">
        <f>'Financial Statements'!F54</f>
        <v>1545.8109999999999</v>
      </c>
      <c r="I76" s="296">
        <f>H79</f>
        <v>1780.617</v>
      </c>
      <c r="J76" s="296">
        <f t="shared" ref="J76:R76" si="109">I79</f>
        <v>2046.0374345558303</v>
      </c>
      <c r="K76" s="296">
        <f t="shared" si="109"/>
        <v>2333.2862147924934</v>
      </c>
      <c r="L76" s="296">
        <f t="shared" si="109"/>
        <v>2629.5663889704992</v>
      </c>
      <c r="M76" s="296">
        <f t="shared" si="109"/>
        <v>2922.8028274410594</v>
      </c>
      <c r="N76" s="296">
        <f t="shared" si="109"/>
        <v>3202.1038376977795</v>
      </c>
      <c r="O76" s="296">
        <f t="shared" si="109"/>
        <v>3458.2476488683797</v>
      </c>
      <c r="P76" s="296">
        <f t="shared" si="109"/>
        <v>3684.0899181801797</v>
      </c>
      <c r="Q76" s="296">
        <f t="shared" si="109"/>
        <v>3874.8227582483751</v>
      </c>
      <c r="R76" s="296">
        <f t="shared" si="109"/>
        <v>4028.0533212062328</v>
      </c>
    </row>
    <row r="77" spans="1:19" ht="12.75" customHeight="1">
      <c r="B77" s="17" t="s">
        <v>364</v>
      </c>
      <c r="D77" s="291">
        <f>-'Financial Statements'!C38</f>
        <v>-185.47800000000001</v>
      </c>
      <c r="E77" s="291">
        <f>-'Financial Statements'!D38</f>
        <v>-224.20599999999999</v>
      </c>
      <c r="F77" s="291">
        <f>-'Financial Statements'!E38</f>
        <v>-291.791</v>
      </c>
      <c r="G77" s="291">
        <f>-'Financial Statements'!F38</f>
        <v>-379.38400000000001</v>
      </c>
      <c r="H77" s="291">
        <f>-'Financial Statements'!G38</f>
        <v>-446.524</v>
      </c>
      <c r="I77" s="290">
        <f>-(I83*I76)</f>
        <v>-523.50139799999999</v>
      </c>
      <c r="J77" s="290">
        <f t="shared" ref="J77:R77" si="110">-(J83*J76)</f>
        <v>-601.53500575941405</v>
      </c>
      <c r="K77" s="290">
        <f t="shared" si="110"/>
        <v>-685.98614714899304</v>
      </c>
      <c r="L77" s="290">
        <f t="shared" si="110"/>
        <v>-773.09251835732675</v>
      </c>
      <c r="M77" s="290">
        <f t="shared" si="110"/>
        <v>-859.30403126767146</v>
      </c>
      <c r="N77" s="290">
        <f t="shared" si="110"/>
        <v>-941.41852828314711</v>
      </c>
      <c r="O77" s="290">
        <f t="shared" si="110"/>
        <v>-1016.7248087673036</v>
      </c>
      <c r="P77" s="290">
        <f t="shared" si="110"/>
        <v>-1083.1224359449727</v>
      </c>
      <c r="Q77" s="290">
        <f t="shared" si="110"/>
        <v>-1139.1978909250222</v>
      </c>
      <c r="R77" s="290">
        <f t="shared" si="110"/>
        <v>-1184.2476764346325</v>
      </c>
    </row>
    <row r="78" spans="1:19" ht="12.75" customHeight="1">
      <c r="B78" s="17" t="s">
        <v>365</v>
      </c>
      <c r="D78" s="290">
        <f>D79-D77-D76</f>
        <v>259.47199999999998</v>
      </c>
      <c r="E78" s="290">
        <f>E79-E77-E76</f>
        <v>406.22899999999993</v>
      </c>
      <c r="F78" s="290">
        <f t="shared" ref="F78:H78" si="111">F79-F77-F76</f>
        <v>633.69499999999994</v>
      </c>
      <c r="G78" s="290">
        <f t="shared" si="111"/>
        <v>655.5809999999999</v>
      </c>
      <c r="H78" s="290">
        <f t="shared" si="111"/>
        <v>681.33000000000015</v>
      </c>
      <c r="I78" s="290">
        <f>I82*I10</f>
        <v>788.92183255583041</v>
      </c>
      <c r="J78" s="290">
        <f>J82*J10</f>
        <v>888.78378599607709</v>
      </c>
      <c r="K78" s="290">
        <f>K82*K10</f>
        <v>982.2663213269991</v>
      </c>
      <c r="L78" s="290">
        <f>L82*L10</f>
        <v>1066.3289568278869</v>
      </c>
      <c r="M78" s="290">
        <f>M82*M10</f>
        <v>1138.6050415243915</v>
      </c>
      <c r="N78" s="290">
        <f>N82*N10</f>
        <v>1197.5623394537474</v>
      </c>
      <c r="O78" s="290">
        <f>O82*O10</f>
        <v>1242.5670780791033</v>
      </c>
      <c r="P78" s="290">
        <f>P82*P10</f>
        <v>1273.8552760131677</v>
      </c>
      <c r="Q78" s="290">
        <f>Q82*Q10</f>
        <v>1292.4284538828797</v>
      </c>
      <c r="R78" s="290">
        <f>R82*R10</f>
        <v>1299.8990636565138</v>
      </c>
    </row>
    <row r="79" spans="1:19" ht="12.75" customHeight="1">
      <c r="B79" s="17" t="s">
        <v>366</v>
      </c>
      <c r="D79" s="291">
        <f>'Financial Statements'!C54</f>
        <v>745.68700000000001</v>
      </c>
      <c r="E79" s="291">
        <f>'Financial Statements'!D54</f>
        <v>927.71</v>
      </c>
      <c r="F79" s="291">
        <f>'Financial Statements'!E54</f>
        <v>1269.614</v>
      </c>
      <c r="G79" s="291">
        <f>'Financial Statements'!F54</f>
        <v>1545.8109999999999</v>
      </c>
      <c r="H79" s="291">
        <f>'Financial Statements'!G54</f>
        <v>1780.617</v>
      </c>
      <c r="I79" s="290">
        <f>SUM(I76:I78)</f>
        <v>2046.0374345558303</v>
      </c>
      <c r="J79" s="290">
        <f t="shared" ref="J79:R79" si="112">SUM(J76:J78)</f>
        <v>2333.2862147924934</v>
      </c>
      <c r="K79" s="290">
        <f t="shared" si="112"/>
        <v>2629.5663889704992</v>
      </c>
      <c r="L79" s="290">
        <f t="shared" si="112"/>
        <v>2922.8028274410594</v>
      </c>
      <c r="M79" s="290">
        <f t="shared" si="112"/>
        <v>3202.1038376977795</v>
      </c>
      <c r="N79" s="290">
        <f t="shared" si="112"/>
        <v>3458.2476488683797</v>
      </c>
      <c r="O79" s="290">
        <f t="shared" si="112"/>
        <v>3684.0899181801797</v>
      </c>
      <c r="P79" s="290">
        <f t="shared" si="112"/>
        <v>3874.8227582483751</v>
      </c>
      <c r="Q79" s="290">
        <f t="shared" si="112"/>
        <v>4028.0533212062328</v>
      </c>
      <c r="R79" s="290">
        <f t="shared" si="112"/>
        <v>4143.7047084281139</v>
      </c>
    </row>
    <row r="80" spans="1:19" ht="12.75" customHeight="1"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</row>
    <row r="81" spans="1:19" ht="12.75" customHeight="1">
      <c r="B81" s="300" t="s">
        <v>367</v>
      </c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</row>
    <row r="82" spans="1:19" ht="12.75" customHeight="1">
      <c r="B82" s="17" t="s">
        <v>368</v>
      </c>
      <c r="D82" s="292">
        <f>D78/D10</f>
        <v>5.8945736582036896E-2</v>
      </c>
      <c r="E82" s="292">
        <f>E78/E10</f>
        <v>6.4927899534205136E-2</v>
      </c>
      <c r="F82" s="292">
        <f>F78/F10</f>
        <v>7.8132494126762306E-2</v>
      </c>
      <c r="G82" s="292">
        <f>G78/G10</f>
        <v>6.815282810206752E-2</v>
      </c>
      <c r="H82" s="292">
        <f>H78/H10</f>
        <v>6.4348497552824749E-2</v>
      </c>
      <c r="I82" s="293">
        <v>6.6000000000000003E-2</v>
      </c>
      <c r="J82" s="308">
        <f>I82</f>
        <v>6.6000000000000003E-2</v>
      </c>
      <c r="K82" s="308">
        <f t="shared" ref="K82:R82" si="113">J82</f>
        <v>6.6000000000000003E-2</v>
      </c>
      <c r="L82" s="308">
        <f t="shared" si="113"/>
        <v>6.6000000000000003E-2</v>
      </c>
      <c r="M82" s="308">
        <f t="shared" si="113"/>
        <v>6.6000000000000003E-2</v>
      </c>
      <c r="N82" s="308">
        <f t="shared" si="113"/>
        <v>6.6000000000000003E-2</v>
      </c>
      <c r="O82" s="308">
        <f t="shared" si="113"/>
        <v>6.6000000000000003E-2</v>
      </c>
      <c r="P82" s="308">
        <f t="shared" si="113"/>
        <v>6.6000000000000003E-2</v>
      </c>
      <c r="Q82" s="308">
        <f t="shared" si="113"/>
        <v>6.6000000000000003E-2</v>
      </c>
      <c r="R82" s="308">
        <f t="shared" si="113"/>
        <v>6.6000000000000003E-2</v>
      </c>
    </row>
    <row r="83" spans="1:19" ht="12.75" customHeight="1">
      <c r="B83" s="17" t="s">
        <v>369</v>
      </c>
      <c r="D83" s="292">
        <f>-D77/D76</f>
        <v>0.27613507956760008</v>
      </c>
      <c r="E83" s="292">
        <f>-E77/E76</f>
        <v>0.30067038851421574</v>
      </c>
      <c r="F83" s="292">
        <f>-F77/F76</f>
        <v>0.314528246973731</v>
      </c>
      <c r="G83" s="292">
        <f>-G77/G76</f>
        <v>0.29881838101974301</v>
      </c>
      <c r="H83" s="292">
        <f>-H77/H76</f>
        <v>0.28886066925387388</v>
      </c>
      <c r="I83" s="293">
        <v>0.29399999999999998</v>
      </c>
      <c r="J83" s="308">
        <f>I83</f>
        <v>0.29399999999999998</v>
      </c>
      <c r="K83" s="308">
        <f t="shared" ref="K83:R83" si="114">J83</f>
        <v>0.29399999999999998</v>
      </c>
      <c r="L83" s="308">
        <f t="shared" si="114"/>
        <v>0.29399999999999998</v>
      </c>
      <c r="M83" s="308">
        <f t="shared" si="114"/>
        <v>0.29399999999999998</v>
      </c>
      <c r="N83" s="308">
        <f t="shared" si="114"/>
        <v>0.29399999999999998</v>
      </c>
      <c r="O83" s="308">
        <f t="shared" si="114"/>
        <v>0.29399999999999998</v>
      </c>
      <c r="P83" s="308">
        <f t="shared" si="114"/>
        <v>0.29399999999999998</v>
      </c>
      <c r="Q83" s="308">
        <f t="shared" si="114"/>
        <v>0.29399999999999998</v>
      </c>
      <c r="R83" s="308">
        <f t="shared" si="114"/>
        <v>0.29399999999999998</v>
      </c>
    </row>
    <row r="84" spans="1:19" ht="12.75" customHeight="1"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</row>
    <row r="85" spans="1:19" ht="13.2">
      <c r="A85" s="120"/>
      <c r="B85" s="32" t="s">
        <v>397</v>
      </c>
      <c r="C85" s="120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120"/>
    </row>
    <row r="86" spans="1:19" ht="12.75" customHeight="1"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</row>
    <row r="87" spans="1:19" ht="12.75" customHeight="1">
      <c r="B87" s="17" t="s">
        <v>393</v>
      </c>
      <c r="D87" s="302">
        <v>1820.6369999999999</v>
      </c>
      <c r="E87" s="296">
        <f>D90</f>
        <v>2346.4279999999999</v>
      </c>
      <c r="F87" s="296">
        <f t="shared" ref="F87:R87" si="115">E90</f>
        <v>2512.84</v>
      </c>
      <c r="G87" s="296">
        <f t="shared" si="115"/>
        <v>2926.127</v>
      </c>
      <c r="H87" s="296">
        <f t="shared" si="115"/>
        <v>3920.3620000000001</v>
      </c>
      <c r="I87" s="296">
        <f t="shared" si="115"/>
        <v>4109.7169999999996</v>
      </c>
      <c r="J87" s="296">
        <f t="shared" si="115"/>
        <v>4441.8230676920693</v>
      </c>
      <c r="K87" s="296">
        <f t="shared" si="115"/>
        <v>4816.2085167311652</v>
      </c>
      <c r="L87" s="296">
        <f t="shared" si="115"/>
        <v>5230.1724400979019</v>
      </c>
      <c r="M87" s="296">
        <f t="shared" si="115"/>
        <v>5679.7266568740761</v>
      </c>
      <c r="N87" s="296">
        <f t="shared" si="115"/>
        <v>6159.8809975400954</v>
      </c>
      <c r="O87" s="296">
        <f t="shared" si="115"/>
        <v>6664.9965771612178</v>
      </c>
      <c r="P87" s="296">
        <f t="shared" si="115"/>
        <v>7189.1661852808229</v>
      </c>
      <c r="Q87" s="296">
        <f t="shared" si="115"/>
        <v>7726.5825365948413</v>
      </c>
      <c r="R87" s="296">
        <f t="shared" si="115"/>
        <v>8271.8623678722251</v>
      </c>
    </row>
    <row r="88" spans="1:19" ht="12.75" customHeight="1">
      <c r="B88" s="17" t="s">
        <v>158</v>
      </c>
      <c r="D88" s="291">
        <f>'Financial Statements'!C35</f>
        <v>588.9129999999999</v>
      </c>
      <c r="E88" s="291">
        <f>'Financial Statements'!D35</f>
        <v>975.32199999999989</v>
      </c>
      <c r="F88" s="291">
        <f>'Financial Statements'!E35</f>
        <v>854.8</v>
      </c>
      <c r="G88" s="291">
        <f>'Financial Statements'!F35</f>
        <v>1550.1900000000005</v>
      </c>
      <c r="H88" s="291">
        <f>'Financial Statements'!G35</f>
        <v>1814.6160000000007</v>
      </c>
      <c r="I88" s="291">
        <f>'Financial Statements'!H35</f>
        <v>1467.675372128492</v>
      </c>
      <c r="J88" s="291">
        <f>'Financial Statements'!I35</f>
        <v>1653.6954440334489</v>
      </c>
      <c r="K88" s="291">
        <f>'Financial Statements'!J35</f>
        <v>1827.8321131555983</v>
      </c>
      <c r="L88" s="291">
        <f>'Financial Statements'!K35</f>
        <v>1984.4216546344965</v>
      </c>
      <c r="M88" s="291">
        <f>'Financial Statements'!L35</f>
        <v>2119.0555367996126</v>
      </c>
      <c r="N88" s="291">
        <f>'Financial Statements'!M35</f>
        <v>2228.8795530772741</v>
      </c>
      <c r="O88" s="291">
        <f>'Financial Statements'!N35</f>
        <v>2312.7131295971026</v>
      </c>
      <c r="P88" s="291">
        <f>'Financial Statements'!O35</f>
        <v>2370.9959152723668</v>
      </c>
      <c r="Q88" s="291">
        <f>'Financial Statements'!P35</f>
        <v>2405.5935148966801</v>
      </c>
      <c r="R88" s="291">
        <f>'Financial Statements'!Q35</f>
        <v>2419.509559189733</v>
      </c>
    </row>
    <row r="89" spans="1:19" ht="12.75" customHeight="1">
      <c r="B89" s="17" t="s">
        <v>394</v>
      </c>
      <c r="D89" s="290">
        <f>D90-D87-D88</f>
        <v>-63.121999999999957</v>
      </c>
      <c r="E89" s="290">
        <f>E90-E87-E88</f>
        <v>-808.90999999999963</v>
      </c>
      <c r="F89" s="290">
        <f t="shared" ref="F89:H89" si="116">F90-F87-F88</f>
        <v>-441.51300000000015</v>
      </c>
      <c r="G89" s="290">
        <f t="shared" si="116"/>
        <v>-555.95500000000038</v>
      </c>
      <c r="H89" s="290">
        <f t="shared" si="116"/>
        <v>-1625.2610000000011</v>
      </c>
      <c r="I89" s="290">
        <f>-I92*I10</f>
        <v>-1135.5693044364225</v>
      </c>
      <c r="J89" s="290">
        <f>-J92*J10</f>
        <v>-1279.3099949943532</v>
      </c>
      <c r="K89" s="290">
        <f>-K92*K10</f>
        <v>-1413.8681897888623</v>
      </c>
      <c r="L89" s="290">
        <f>-L92*L10</f>
        <v>-1534.8674378583221</v>
      </c>
      <c r="M89" s="290">
        <f>-M92*M10</f>
        <v>-1638.9011961335937</v>
      </c>
      <c r="N89" s="290">
        <f>-N92*N10</f>
        <v>-1723.7639734561515</v>
      </c>
      <c r="O89" s="290">
        <f>-O92*O10</f>
        <v>-1788.5435214774973</v>
      </c>
      <c r="P89" s="290">
        <f>-P92*P10</f>
        <v>-1833.5795639583473</v>
      </c>
      <c r="Q89" s="290">
        <f>-Q92*Q10</f>
        <v>-1860.3136836192966</v>
      </c>
      <c r="R89" s="290">
        <f>-R92*R10</f>
        <v>-1871.0668340510426</v>
      </c>
    </row>
    <row r="90" spans="1:19" ht="12.75" customHeight="1">
      <c r="B90" s="17" t="s">
        <v>395</v>
      </c>
      <c r="D90" s="291">
        <f>'Financial Statements'!C85</f>
        <v>2346.4279999999999</v>
      </c>
      <c r="E90" s="291">
        <f>'Financial Statements'!D85</f>
        <v>2512.84</v>
      </c>
      <c r="F90" s="291">
        <f>'Financial Statements'!E85</f>
        <v>2926.127</v>
      </c>
      <c r="G90" s="291">
        <f>'Financial Statements'!F85</f>
        <v>3920.3620000000001</v>
      </c>
      <c r="H90" s="291">
        <f>'Financial Statements'!G85</f>
        <v>4109.7169999999996</v>
      </c>
      <c r="I90" s="290">
        <f>SUM(I87:I89)</f>
        <v>4441.8230676920693</v>
      </c>
      <c r="J90" s="290">
        <f t="shared" ref="J90:R90" si="117">SUM(J87:J89)</f>
        <v>4816.2085167311652</v>
      </c>
      <c r="K90" s="290">
        <f t="shared" si="117"/>
        <v>5230.1724400979019</v>
      </c>
      <c r="L90" s="290">
        <f t="shared" si="117"/>
        <v>5679.7266568740761</v>
      </c>
      <c r="M90" s="290">
        <f t="shared" si="117"/>
        <v>6159.8809975400954</v>
      </c>
      <c r="N90" s="290">
        <f t="shared" si="117"/>
        <v>6664.9965771612178</v>
      </c>
      <c r="O90" s="290">
        <f t="shared" si="117"/>
        <v>7189.1661852808229</v>
      </c>
      <c r="P90" s="290">
        <f t="shared" si="117"/>
        <v>7726.5825365948413</v>
      </c>
      <c r="Q90" s="290">
        <f t="shared" si="117"/>
        <v>8271.8623678722251</v>
      </c>
      <c r="R90" s="290">
        <f t="shared" si="117"/>
        <v>8820.3050930109166</v>
      </c>
    </row>
    <row r="91" spans="1:19" ht="12.75" customHeight="1"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</row>
    <row r="92" spans="1:19" ht="12.75" customHeight="1">
      <c r="B92" s="17" t="s">
        <v>396</v>
      </c>
      <c r="D92" s="292">
        <f>-D89/D10</f>
        <v>1.4339785350755883E-2</v>
      </c>
      <c r="E92" s="292">
        <f>-E89/E10</f>
        <v>0.12928871944694706</v>
      </c>
      <c r="F92" s="292">
        <f>-F89/F10</f>
        <v>5.4437090208048385E-2</v>
      </c>
      <c r="G92" s="292">
        <f>-G89/G10</f>
        <v>5.7795917739356363E-2</v>
      </c>
      <c r="H92" s="292">
        <f>-H89/H10</f>
        <v>0.15349845666740281</v>
      </c>
      <c r="I92" s="293">
        <v>9.5000000000000001E-2</v>
      </c>
      <c r="J92" s="308">
        <f>I92</f>
        <v>9.5000000000000001E-2</v>
      </c>
      <c r="K92" s="308">
        <f t="shared" ref="K92:R92" si="118">J92</f>
        <v>9.5000000000000001E-2</v>
      </c>
      <c r="L92" s="308">
        <f t="shared" si="118"/>
        <v>9.5000000000000001E-2</v>
      </c>
      <c r="M92" s="308">
        <f t="shared" si="118"/>
        <v>9.5000000000000001E-2</v>
      </c>
      <c r="N92" s="308">
        <f t="shared" si="118"/>
        <v>9.5000000000000001E-2</v>
      </c>
      <c r="O92" s="308">
        <f t="shared" si="118"/>
        <v>9.5000000000000001E-2</v>
      </c>
      <c r="P92" s="308">
        <f t="shared" si="118"/>
        <v>9.5000000000000001E-2</v>
      </c>
      <c r="Q92" s="308">
        <f t="shared" si="118"/>
        <v>9.5000000000000001E-2</v>
      </c>
      <c r="R92" s="308">
        <f t="shared" si="118"/>
        <v>9.5000000000000001E-2</v>
      </c>
    </row>
    <row r="93" spans="1:19" ht="12.75" customHeight="1">
      <c r="D93" s="292"/>
      <c r="E93" s="292"/>
      <c r="F93" s="292"/>
      <c r="G93" s="292"/>
      <c r="H93" s="292"/>
      <c r="I93" s="293"/>
      <c r="J93" s="308"/>
      <c r="K93" s="308"/>
      <c r="L93" s="308"/>
      <c r="M93" s="308"/>
      <c r="N93" s="308"/>
      <c r="O93" s="308"/>
      <c r="P93" s="308"/>
      <c r="Q93" s="308"/>
      <c r="R93" s="308"/>
    </row>
    <row r="94" spans="1:19" ht="12.75" customHeight="1">
      <c r="B94" s="17" t="s">
        <v>398</v>
      </c>
      <c r="D94" s="302">
        <v>355.541</v>
      </c>
      <c r="E94" s="310">
        <f t="shared" ref="E94:F94" si="119">D101</f>
        <v>388.67199999999997</v>
      </c>
      <c r="F94" s="310">
        <f t="shared" si="119"/>
        <v>422.51199999999994</v>
      </c>
      <c r="G94" s="310">
        <f>F101</f>
        <v>474.64999999999992</v>
      </c>
      <c r="H94" s="310">
        <f t="shared" ref="H94:R94" si="120">G101</f>
        <v>575.37399999999991</v>
      </c>
      <c r="I94" s="310">
        <f t="shared" si="120"/>
        <v>638.19499999999994</v>
      </c>
      <c r="J94" s="310">
        <f t="shared" si="120"/>
        <v>721.86852769531527</v>
      </c>
      <c r="K94" s="310">
        <f t="shared" si="120"/>
        <v>816.13347469489929</v>
      </c>
      <c r="L94" s="310">
        <f t="shared" si="120"/>
        <v>920.31323604776287</v>
      </c>
      <c r="M94" s="310">
        <f t="shared" si="120"/>
        <v>1033.4087314689025</v>
      </c>
      <c r="N94" s="310">
        <f t="shared" si="120"/>
        <v>1154.1698722366411</v>
      </c>
      <c r="O94" s="310">
        <f t="shared" si="120"/>
        <v>1281.1840597544629</v>
      </c>
      <c r="P94" s="310">
        <f t="shared" si="120"/>
        <v>1412.9714771264889</v>
      </c>
      <c r="Q94" s="310">
        <f t="shared" si="120"/>
        <v>1548.0773397339462</v>
      </c>
      <c r="R94" s="310">
        <f t="shared" si="120"/>
        <v>1685.1530848427365</v>
      </c>
    </row>
    <row r="95" spans="1:19" ht="12.75" customHeight="1">
      <c r="B95" s="17" t="s">
        <v>399</v>
      </c>
      <c r="D95" s="302">
        <v>50.796999999999997</v>
      </c>
      <c r="E95" s="302">
        <v>69.137</v>
      </c>
      <c r="F95" s="302">
        <v>78.075000000000003</v>
      </c>
      <c r="G95" s="290">
        <v>93.56</v>
      </c>
      <c r="H95" s="290">
        <v>90.010999999999996</v>
      </c>
      <c r="I95" s="290">
        <f>I103*I10</f>
        <v>119.53361099330763</v>
      </c>
      <c r="J95" s="290">
        <f>J103*J10</f>
        <v>134.66420999940561</v>
      </c>
      <c r="K95" s="290">
        <f>K103*K10</f>
        <v>148.82823050409078</v>
      </c>
      <c r="L95" s="290">
        <f>L103*L10</f>
        <v>161.56499345877074</v>
      </c>
      <c r="M95" s="290">
        <f>M103*M10</f>
        <v>172.51591538248354</v>
      </c>
      <c r="N95" s="290">
        <f>N103*N10</f>
        <v>181.44883931117383</v>
      </c>
      <c r="O95" s="290">
        <f>O103*O10</f>
        <v>188.26773910289444</v>
      </c>
      <c r="P95" s="290">
        <f>P103*P10</f>
        <v>193.00837515351026</v>
      </c>
      <c r="Q95" s="290">
        <f>Q103*Q10</f>
        <v>195.82249301255754</v>
      </c>
      <c r="R95" s="290">
        <f>R103*R10</f>
        <v>196.95440358432029</v>
      </c>
    </row>
    <row r="96" spans="1:19" ht="12.75" hidden="1" customHeight="1" outlineLevel="1">
      <c r="B96" s="17" t="s">
        <v>400</v>
      </c>
      <c r="D96" s="302">
        <v>15.26</v>
      </c>
      <c r="E96" s="302">
        <v>18.192</v>
      </c>
      <c r="F96" s="302">
        <v>11.702</v>
      </c>
      <c r="G96" s="302">
        <v>42.427999999999997</v>
      </c>
      <c r="H96" s="302">
        <v>19.812000000000001</v>
      </c>
      <c r="I96" s="290"/>
      <c r="J96" s="290"/>
      <c r="K96" s="290"/>
      <c r="L96" s="290"/>
      <c r="M96" s="290"/>
      <c r="N96" s="290"/>
      <c r="O96" s="290"/>
      <c r="P96" s="290"/>
      <c r="Q96" s="290"/>
      <c r="R96" s="290"/>
    </row>
    <row r="97" spans="2:18" ht="12.75" hidden="1" customHeight="1" outlineLevel="1">
      <c r="B97" s="17" t="s">
        <v>401</v>
      </c>
      <c r="D97" s="302">
        <v>-32.387</v>
      </c>
      <c r="E97" s="302">
        <v>-49.808</v>
      </c>
      <c r="F97" s="302">
        <v>-35.158000000000001</v>
      </c>
      <c r="G97" s="302">
        <v>-32.573999999999998</v>
      </c>
      <c r="H97" s="302">
        <v>-35.409999999999997</v>
      </c>
      <c r="I97" s="290"/>
      <c r="J97" s="290"/>
      <c r="K97" s="290"/>
      <c r="L97" s="290"/>
      <c r="M97" s="290"/>
      <c r="N97" s="290"/>
      <c r="O97" s="290"/>
      <c r="P97" s="290"/>
      <c r="Q97" s="290"/>
      <c r="R97" s="290"/>
    </row>
    <row r="98" spans="2:18" ht="12.75" hidden="1" customHeight="1" outlineLevel="1">
      <c r="B98" s="17" t="s">
        <v>394</v>
      </c>
      <c r="D98" s="302">
        <v>-0.53900000000000003</v>
      </c>
      <c r="E98" s="302">
        <v>-3.681</v>
      </c>
      <c r="F98" s="302">
        <v>-2.4809999999999999</v>
      </c>
      <c r="G98" s="302">
        <v>-2.69</v>
      </c>
      <c r="H98" s="302">
        <v>-11.592000000000001</v>
      </c>
      <c r="I98" s="290"/>
      <c r="J98" s="290"/>
      <c r="K98" s="290"/>
      <c r="L98" s="290"/>
      <c r="M98" s="290"/>
      <c r="N98" s="290"/>
      <c r="O98" s="290"/>
      <c r="P98" s="290"/>
      <c r="Q98" s="290"/>
      <c r="R98" s="290"/>
    </row>
    <row r="99" spans="2:18" ht="12.75" hidden="1" customHeight="1" outlineLevel="1">
      <c r="B99" s="17" t="s">
        <v>409</v>
      </c>
      <c r="D99" s="294">
        <f>-D95*D105</f>
        <v>-17.127000000000002</v>
      </c>
      <c r="E99" s="294">
        <f>-E95*E105</f>
        <v>-31.616</v>
      </c>
      <c r="F99" s="294">
        <f t="shared" ref="F99:R99" si="121">-F95*F105</f>
        <v>-23.456000000000003</v>
      </c>
      <c r="G99" s="294">
        <f t="shared" si="121"/>
        <v>9.8539999999999992</v>
      </c>
      <c r="H99" s="294">
        <f t="shared" si="121"/>
        <v>-15.597999999999995</v>
      </c>
      <c r="I99" s="294">
        <f t="shared" si="121"/>
        <v>-20.918381923828836</v>
      </c>
      <c r="J99" s="294">
        <f t="shared" si="121"/>
        <v>-23.566236749895982</v>
      </c>
      <c r="K99" s="294">
        <f t="shared" si="121"/>
        <v>-26.044940338215884</v>
      </c>
      <c r="L99" s="294">
        <f t="shared" si="121"/>
        <v>-28.273873855284879</v>
      </c>
      <c r="M99" s="294">
        <f t="shared" si="121"/>
        <v>-30.190285191934617</v>
      </c>
      <c r="N99" s="294">
        <f t="shared" si="121"/>
        <v>-31.753546879455417</v>
      </c>
      <c r="O99" s="294">
        <f t="shared" si="121"/>
        <v>-32.946854343006528</v>
      </c>
      <c r="P99" s="294">
        <f t="shared" si="121"/>
        <v>-33.776465651864292</v>
      </c>
      <c r="Q99" s="294">
        <f t="shared" si="121"/>
        <v>-34.268936277197568</v>
      </c>
      <c r="R99" s="294">
        <f t="shared" si="121"/>
        <v>-34.467020627256048</v>
      </c>
    </row>
    <row r="100" spans="2:18" ht="12.75" customHeight="1" collapsed="1">
      <c r="B100" s="17" t="s">
        <v>404</v>
      </c>
      <c r="D100" s="294">
        <f>SUM(D96:D98)</f>
        <v>-17.666000000000004</v>
      </c>
      <c r="E100" s="294">
        <f>SUM(E96:E98)</f>
        <v>-35.296999999999997</v>
      </c>
      <c r="F100" s="294">
        <f>SUM(F96:F98)</f>
        <v>-25.937000000000005</v>
      </c>
      <c r="G100" s="294">
        <f>SUM(G96:G98)</f>
        <v>7.1639999999999997</v>
      </c>
      <c r="H100" s="294">
        <f>SUM(H96:H98)</f>
        <v>-27.189999999999998</v>
      </c>
      <c r="I100" s="294">
        <f t="shared" ref="I100:R100" si="122">-I95*I104</f>
        <v>-35.86008329799229</v>
      </c>
      <c r="J100" s="294">
        <f t="shared" si="122"/>
        <v>-40.39926299982168</v>
      </c>
      <c r="K100" s="294">
        <f t="shared" si="122"/>
        <v>-44.648469151227232</v>
      </c>
      <c r="L100" s="294">
        <f t="shared" si="122"/>
        <v>-48.469498037631219</v>
      </c>
      <c r="M100" s="294">
        <f t="shared" si="122"/>
        <v>-51.75477461474506</v>
      </c>
      <c r="N100" s="294">
        <f t="shared" si="122"/>
        <v>-54.434651793352145</v>
      </c>
      <c r="O100" s="294">
        <f t="shared" si="122"/>
        <v>-56.480321730868333</v>
      </c>
      <c r="P100" s="294">
        <f t="shared" si="122"/>
        <v>-57.902512546053075</v>
      </c>
      <c r="Q100" s="294">
        <f t="shared" si="122"/>
        <v>-58.746747903767258</v>
      </c>
      <c r="R100" s="294">
        <f t="shared" si="122"/>
        <v>-59.086321075296084</v>
      </c>
    </row>
    <row r="101" spans="2:18" ht="12.75" customHeight="1">
      <c r="B101" s="17" t="s">
        <v>402</v>
      </c>
      <c r="D101" s="290">
        <f t="shared" ref="D101:R101" si="123">SUM(D94,D95,D100)</f>
        <v>388.67199999999997</v>
      </c>
      <c r="E101" s="290">
        <f t="shared" si="123"/>
        <v>422.51199999999994</v>
      </c>
      <c r="F101" s="290">
        <f t="shared" si="123"/>
        <v>474.64999999999992</v>
      </c>
      <c r="G101" s="290">
        <f t="shared" si="123"/>
        <v>575.37399999999991</v>
      </c>
      <c r="H101" s="290">
        <f t="shared" si="123"/>
        <v>638.19499999999994</v>
      </c>
      <c r="I101" s="290">
        <f t="shared" si="123"/>
        <v>721.86852769531527</v>
      </c>
      <c r="J101" s="290">
        <f t="shared" si="123"/>
        <v>816.13347469489929</v>
      </c>
      <c r="K101" s="290">
        <f t="shared" si="123"/>
        <v>920.31323604776287</v>
      </c>
      <c r="L101" s="290">
        <f t="shared" si="123"/>
        <v>1033.4087314689025</v>
      </c>
      <c r="M101" s="290">
        <f t="shared" si="123"/>
        <v>1154.1698722366411</v>
      </c>
      <c r="N101" s="290">
        <f t="shared" si="123"/>
        <v>1281.1840597544629</v>
      </c>
      <c r="O101" s="290">
        <f t="shared" si="123"/>
        <v>1412.9714771264889</v>
      </c>
      <c r="P101" s="290">
        <f t="shared" si="123"/>
        <v>1548.0773397339462</v>
      </c>
      <c r="Q101" s="290">
        <f t="shared" si="123"/>
        <v>1685.1530848427365</v>
      </c>
      <c r="R101" s="290">
        <f t="shared" si="123"/>
        <v>1823.0211673517606</v>
      </c>
    </row>
    <row r="102" spans="2:18" ht="12.75" customHeight="1">
      <c r="D102" s="292"/>
      <c r="E102" s="292"/>
      <c r="F102" s="292"/>
      <c r="G102" s="292"/>
      <c r="H102" s="292"/>
      <c r="I102" s="293"/>
      <c r="J102" s="308"/>
      <c r="K102" s="308"/>
      <c r="L102" s="308"/>
      <c r="M102" s="308"/>
      <c r="N102" s="308"/>
      <c r="O102" s="308"/>
      <c r="P102" s="308"/>
      <c r="Q102" s="308"/>
      <c r="R102" s="308"/>
    </row>
    <row r="103" spans="2:18" ht="12.75" customHeight="1">
      <c r="B103" s="17" t="s">
        <v>403</v>
      </c>
      <c r="D103" s="292">
        <f>D95/D10</f>
        <v>1.1539844689052106E-2</v>
      </c>
      <c r="E103" s="292">
        <f>E95/E10</f>
        <v>1.1050220910118039E-2</v>
      </c>
      <c r="F103" s="292">
        <f>F95/F10</f>
        <v>9.6263888447075761E-3</v>
      </c>
      <c r="G103" s="292">
        <f>G95/G10</f>
        <v>9.7263017037245419E-3</v>
      </c>
      <c r="H103" s="292">
        <f>H95/H10</f>
        <v>8.5011266394072003E-3</v>
      </c>
      <c r="I103" s="293">
        <v>0.01</v>
      </c>
      <c r="J103" s="308">
        <f>I103</f>
        <v>0.01</v>
      </c>
      <c r="K103" s="308">
        <f t="shared" ref="K103:R103" si="124">J103</f>
        <v>0.01</v>
      </c>
      <c r="L103" s="308">
        <f t="shared" si="124"/>
        <v>0.01</v>
      </c>
      <c r="M103" s="308">
        <f t="shared" si="124"/>
        <v>0.01</v>
      </c>
      <c r="N103" s="308">
        <f t="shared" si="124"/>
        <v>0.01</v>
      </c>
      <c r="O103" s="308">
        <f t="shared" si="124"/>
        <v>0.01</v>
      </c>
      <c r="P103" s="308">
        <f t="shared" si="124"/>
        <v>0.01</v>
      </c>
      <c r="Q103" s="308">
        <f t="shared" si="124"/>
        <v>0.01</v>
      </c>
      <c r="R103" s="308">
        <f t="shared" si="124"/>
        <v>0.01</v>
      </c>
    </row>
    <row r="104" spans="2:18" ht="12.75" customHeight="1">
      <c r="B104" s="17" t="s">
        <v>405</v>
      </c>
      <c r="D104" s="292">
        <f>-D100/D95</f>
        <v>0.34777644349075743</v>
      </c>
      <c r="E104" s="292">
        <f>-E100/E95</f>
        <v>0.51053704962610469</v>
      </c>
      <c r="F104" s="292">
        <f>-F100/F95</f>
        <v>0.33220621197566447</v>
      </c>
      <c r="G104" s="292">
        <f>-G100/G95</f>
        <v>-7.6571184266780667E-2</v>
      </c>
      <c r="H104" s="292">
        <f>-H100/H95</f>
        <v>0.30207419093221938</v>
      </c>
      <c r="I104" s="293">
        <v>0.3</v>
      </c>
      <c r="J104" s="308">
        <f>I104</f>
        <v>0.3</v>
      </c>
      <c r="K104" s="308">
        <f t="shared" ref="K104:R104" si="125">J104</f>
        <v>0.3</v>
      </c>
      <c r="L104" s="308">
        <f t="shared" si="125"/>
        <v>0.3</v>
      </c>
      <c r="M104" s="308">
        <f t="shared" si="125"/>
        <v>0.3</v>
      </c>
      <c r="N104" s="308">
        <f t="shared" si="125"/>
        <v>0.3</v>
      </c>
      <c r="O104" s="308">
        <f t="shared" si="125"/>
        <v>0.3</v>
      </c>
      <c r="P104" s="308">
        <f t="shared" si="125"/>
        <v>0.3</v>
      </c>
      <c r="Q104" s="308">
        <f t="shared" si="125"/>
        <v>0.3</v>
      </c>
      <c r="R104" s="308">
        <f t="shared" si="125"/>
        <v>0.3</v>
      </c>
    </row>
    <row r="105" spans="2:18" ht="12.75" customHeight="1">
      <c r="B105" s="17" t="s">
        <v>408</v>
      </c>
      <c r="D105" s="292">
        <f>-(D97+D96)/D95</f>
        <v>0.33716558064452634</v>
      </c>
      <c r="E105" s="292">
        <f>-(E97+E96)/E95</f>
        <v>0.45729493614128469</v>
      </c>
      <c r="F105" s="292">
        <f>-(F97+F96)/F95</f>
        <v>0.30042907460774898</v>
      </c>
      <c r="G105" s="292">
        <f>-(G97+G96)/G95</f>
        <v>-0.10532278751603248</v>
      </c>
      <c r="H105" s="292">
        <f>-(H97+H96)/H95</f>
        <v>0.17328993123062733</v>
      </c>
      <c r="I105" s="293">
        <v>0.17499999999999999</v>
      </c>
      <c r="J105" s="308">
        <f>I105</f>
        <v>0.17499999999999999</v>
      </c>
      <c r="K105" s="308">
        <f t="shared" ref="K105:R105" si="126">J105</f>
        <v>0.17499999999999999</v>
      </c>
      <c r="L105" s="308">
        <f t="shared" si="126"/>
        <v>0.17499999999999999</v>
      </c>
      <c r="M105" s="308">
        <f t="shared" si="126"/>
        <v>0.17499999999999999</v>
      </c>
      <c r="N105" s="308">
        <f t="shared" si="126"/>
        <v>0.17499999999999999</v>
      </c>
      <c r="O105" s="308">
        <f t="shared" si="126"/>
        <v>0.17499999999999999</v>
      </c>
      <c r="P105" s="308">
        <f t="shared" si="126"/>
        <v>0.17499999999999999</v>
      </c>
      <c r="Q105" s="308">
        <f t="shared" si="126"/>
        <v>0.17499999999999999</v>
      </c>
      <c r="R105" s="308">
        <f t="shared" si="126"/>
        <v>0.17499999999999999</v>
      </c>
    </row>
    <row r="106" spans="2:18" ht="12.75" customHeight="1">
      <c r="D106" s="292"/>
      <c r="E106" s="292"/>
      <c r="F106" s="292"/>
      <c r="G106" s="292"/>
      <c r="H106" s="292"/>
      <c r="I106" s="293"/>
      <c r="J106" s="308"/>
      <c r="K106" s="308"/>
      <c r="L106" s="308"/>
      <c r="M106" s="308"/>
      <c r="N106" s="308"/>
      <c r="O106" s="308"/>
      <c r="P106" s="308"/>
      <c r="Q106" s="308"/>
      <c r="R106" s="308"/>
    </row>
    <row r="107" spans="2:18" ht="12.75" customHeight="1"/>
    <row r="108" spans="2:18" ht="12.75" customHeight="1"/>
    <row r="109" spans="2:18" ht="12.75" customHeight="1"/>
    <row r="110" spans="2:18" ht="12.75" customHeight="1"/>
    <row r="111" spans="2:18" ht="12.75" customHeight="1"/>
    <row r="112" spans="2:18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</sheetData>
  <conditionalFormatting sqref="C7:S7">
    <cfRule type="cellIs" dxfId="14" priority="2" stopIfTrue="1" operator="equal">
      <formula>#REF!</formula>
    </cfRule>
  </conditionalFormatting>
  <conditionalFormatting sqref="S5">
    <cfRule type="cellIs" dxfId="13" priority="7" operator="equal">
      <formula>"Check"</formula>
    </cfRule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DE9B-6D89-4B12-9B06-30E87FF21A3D}">
  <sheetPr codeName="Sheet5"/>
  <dimension ref="A1:AJ1103"/>
  <sheetViews>
    <sheetView showGridLines="0" tabSelected="1" zoomScale="85" zoomScaleNormal="85" workbookViewId="0">
      <pane ySplit="6" topLeftCell="A7" activePane="bottomLeft" state="frozen"/>
      <selection pane="bottomLeft" activeCell="AE158" sqref="AE158"/>
    </sheetView>
  </sheetViews>
  <sheetFormatPr defaultColWidth="13" defaultRowHeight="15" customHeight="1" outlineLevelRow="1"/>
  <cols>
    <col min="1" max="1" width="30.5" style="20" bestFit="1" customWidth="1"/>
    <col min="2" max="7" width="11.69921875" customWidth="1"/>
    <col min="8" max="8" width="11.69921875" style="233" customWidth="1"/>
    <col min="9" max="16" width="11.69921875" customWidth="1"/>
    <col min="17" max="17" width="3.296875" customWidth="1"/>
    <col min="18" max="18" width="8.8984375" customWidth="1"/>
    <col min="19" max="19" width="9.59765625" customWidth="1"/>
    <col min="20" max="21" width="11.3984375" hidden="1" customWidth="1"/>
    <col min="22" max="22" width="0.69921875" hidden="1" customWidth="1"/>
    <col min="23" max="23" width="9.765625E-2" hidden="1" customWidth="1"/>
    <col min="24" max="26" width="11.3984375" hidden="1" customWidth="1"/>
    <col min="27" max="27" width="9.765625E-2" hidden="1" customWidth="1"/>
    <col min="28" max="28" width="11.3984375" hidden="1" customWidth="1"/>
    <col min="29" max="29" width="0.296875" hidden="1" customWidth="1"/>
    <col min="30" max="30" width="0.8984375" customWidth="1"/>
    <col min="31" max="36" width="11.3984375" customWidth="1"/>
  </cols>
  <sheetData>
    <row r="1" spans="1:36" s="33" customFormat="1" ht="17.399999999999999">
      <c r="A1" s="32" t="s">
        <v>4</v>
      </c>
      <c r="B1" s="234"/>
      <c r="Q1" s="34"/>
      <c r="R1" s="34"/>
    </row>
    <row r="2" spans="1:36" s="33" customFormat="1" ht="17.399999999999999">
      <c r="A2" s="32" t="str">
        <f>company</f>
        <v>lululemon athletica inc.</v>
      </c>
      <c r="B2" s="234"/>
      <c r="Q2" s="34"/>
      <c r="R2" s="34"/>
    </row>
    <row r="3" spans="1:36" s="33" customFormat="1" ht="17.399999999999999">
      <c r="A3" s="32" t="s">
        <v>45</v>
      </c>
      <c r="B3" s="234"/>
      <c r="Q3" s="34"/>
      <c r="R3" s="34"/>
    </row>
    <row r="4" spans="1:36" s="33" customFormat="1" ht="17.399999999999999">
      <c r="A4" s="32" t="s">
        <v>99</v>
      </c>
      <c r="B4" s="35"/>
      <c r="C4" s="35"/>
      <c r="D4" s="35"/>
      <c r="E4" s="35"/>
      <c r="Q4" s="34"/>
      <c r="R4" s="34"/>
    </row>
    <row r="5" spans="1:36" ht="15.6">
      <c r="A5" s="32" t="s">
        <v>47</v>
      </c>
      <c r="B5" s="36">
        <v>2020</v>
      </c>
      <c r="C5" s="36">
        <f>B5+1</f>
        <v>2021</v>
      </c>
      <c r="D5" s="36">
        <f t="shared" ref="D5:P5" si="0">C5+1</f>
        <v>2022</v>
      </c>
      <c r="E5" s="36">
        <f t="shared" si="0"/>
        <v>2023</v>
      </c>
      <c r="F5" s="36">
        <f t="shared" si="0"/>
        <v>2024</v>
      </c>
      <c r="G5" s="37">
        <f t="shared" si="0"/>
        <v>2025</v>
      </c>
      <c r="H5" s="37">
        <f t="shared" si="0"/>
        <v>2026</v>
      </c>
      <c r="I5" s="37">
        <f t="shared" si="0"/>
        <v>2027</v>
      </c>
      <c r="J5" s="37">
        <f t="shared" si="0"/>
        <v>2028</v>
      </c>
      <c r="K5" s="37">
        <f t="shared" si="0"/>
        <v>2029</v>
      </c>
      <c r="L5" s="37">
        <f t="shared" si="0"/>
        <v>2030</v>
      </c>
      <c r="M5" s="37">
        <f t="shared" si="0"/>
        <v>2031</v>
      </c>
      <c r="N5" s="37">
        <f t="shared" si="0"/>
        <v>2032</v>
      </c>
      <c r="O5" s="37">
        <f t="shared" si="0"/>
        <v>2033</v>
      </c>
      <c r="P5" s="37">
        <f t="shared" si="0"/>
        <v>2034</v>
      </c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</row>
    <row r="6" spans="1:36" ht="15.6">
      <c r="A6" s="211" t="s">
        <v>229</v>
      </c>
      <c r="B6" s="210">
        <f>EOMONTH(C6,-12)</f>
        <v>44227</v>
      </c>
      <c r="C6" s="209">
        <v>44591</v>
      </c>
      <c r="D6" s="209">
        <v>44955</v>
      </c>
      <c r="E6" s="209">
        <v>45319</v>
      </c>
      <c r="F6" s="209">
        <v>45690</v>
      </c>
      <c r="G6" s="209">
        <f>EOMONTH(F6,11)</f>
        <v>46053</v>
      </c>
      <c r="H6" s="209">
        <f>EOMONTH(G6,12)</f>
        <v>46418</v>
      </c>
      <c r="I6" s="209">
        <f t="shared" ref="I6:P6" si="1">EOMONTH(H6,12)</f>
        <v>46783</v>
      </c>
      <c r="J6" s="209">
        <f t="shared" si="1"/>
        <v>47149</v>
      </c>
      <c r="K6" s="209">
        <f t="shared" si="1"/>
        <v>47514</v>
      </c>
      <c r="L6" s="209">
        <f t="shared" si="1"/>
        <v>47879</v>
      </c>
      <c r="M6" s="209">
        <f t="shared" si="1"/>
        <v>48244</v>
      </c>
      <c r="N6" s="209">
        <f t="shared" si="1"/>
        <v>48610</v>
      </c>
      <c r="O6" s="209">
        <f t="shared" si="1"/>
        <v>48975</v>
      </c>
      <c r="P6" s="209">
        <f t="shared" si="1"/>
        <v>49340</v>
      </c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</row>
    <row r="7" spans="1:36" ht="18">
      <c r="A7" s="287" t="s">
        <v>453</v>
      </c>
      <c r="B7" s="287"/>
      <c r="C7" s="288"/>
      <c r="D7" s="288"/>
      <c r="E7" s="288"/>
      <c r="F7" s="288"/>
      <c r="G7" s="288"/>
      <c r="H7" s="505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</row>
    <row r="8" spans="1:36" ht="15.6">
      <c r="A8" s="226" t="s">
        <v>345</v>
      </c>
      <c r="B8" s="226"/>
      <c r="C8" s="223"/>
      <c r="D8" s="223"/>
      <c r="E8" s="223"/>
      <c r="F8" s="223"/>
      <c r="G8" s="223"/>
      <c r="H8" s="506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</row>
    <row r="9" spans="1:36" ht="15.6">
      <c r="A9" s="223" t="s">
        <v>279</v>
      </c>
      <c r="B9" s="248">
        <f>SUM(B10:B11)</f>
        <v>3777.74</v>
      </c>
      <c r="C9" s="248">
        <f t="shared" ref="C9:D9" si="2">SUM(C10:C11)</f>
        <v>5299.9059999999999</v>
      </c>
      <c r="D9" s="248">
        <f t="shared" si="2"/>
        <v>6817.4539999999997</v>
      </c>
      <c r="E9" s="249">
        <v>7631.6469999999999</v>
      </c>
      <c r="F9" s="249">
        <v>7928.1559999999999</v>
      </c>
      <c r="G9" s="242">
        <f t="shared" ref="G9:P9" si="3">G24*G44</f>
        <v>8501.5235000663015</v>
      </c>
      <c r="H9" s="242">
        <f t="shared" si="3"/>
        <v>9072.6449598631207</v>
      </c>
      <c r="I9" s="242">
        <f t="shared" si="3"/>
        <v>9635.5801465758432</v>
      </c>
      <c r="J9" s="242">
        <f t="shared" si="3"/>
        <v>10184.103233648984</v>
      </c>
      <c r="K9" s="242">
        <f t="shared" si="3"/>
        <v>10711.809283692122</v>
      </c>
      <c r="L9" s="242">
        <f t="shared" si="3"/>
        <v>11212.232364418467</v>
      </c>
      <c r="M9" s="242">
        <f t="shared" si="3"/>
        <v>11678.972485420556</v>
      </c>
      <c r="N9" s="242">
        <f t="shared" si="3"/>
        <v>12105.828050719816</v>
      </c>
      <c r="O9" s="242">
        <f t="shared" si="3"/>
        <v>12486.930131085175</v>
      </c>
      <c r="P9" s="242">
        <f t="shared" si="3"/>
        <v>12816.874595165644</v>
      </c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</row>
    <row r="10" spans="1:36" ht="15.6" hidden="1" outlineLevel="1">
      <c r="A10" s="223" t="s">
        <v>276</v>
      </c>
      <c r="B10" s="249">
        <v>3105.1329999999998</v>
      </c>
      <c r="C10" s="249">
        <v>4345.6869999999999</v>
      </c>
      <c r="D10" s="249">
        <v>5654.3429999999998</v>
      </c>
      <c r="E10" s="249"/>
      <c r="F10" s="249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</row>
    <row r="11" spans="1:36" ht="15.6" hidden="1" outlineLevel="1">
      <c r="A11" s="223" t="s">
        <v>277</v>
      </c>
      <c r="B11" s="249">
        <v>672.60699999999997</v>
      </c>
      <c r="C11" s="249">
        <v>954.21900000000005</v>
      </c>
      <c r="D11" s="249">
        <v>1163.1110000000001</v>
      </c>
      <c r="E11" s="249"/>
      <c r="F11" s="249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</row>
    <row r="12" spans="1:36" ht="15.6" collapsed="1">
      <c r="A12" s="250" t="s">
        <v>306</v>
      </c>
      <c r="B12" s="241"/>
      <c r="C12" s="251">
        <f>C9/B9-1</f>
        <v>0.40293032342088142</v>
      </c>
      <c r="D12" s="251">
        <f>D9/C9-1</f>
        <v>0.28633488971313836</v>
      </c>
      <c r="E12" s="246">
        <f>E9/D9-1</f>
        <v>0.11942772184454786</v>
      </c>
      <c r="F12" s="246">
        <f>F9/E9-1</f>
        <v>3.8852556990647047E-2</v>
      </c>
      <c r="G12" s="246">
        <f>G9/F9-1</f>
        <v>7.232041095890418E-2</v>
      </c>
      <c r="H12" s="246">
        <f t="shared" ref="H12:P12" si="4">H9/G9-1</f>
        <v>6.7178719178081936E-2</v>
      </c>
      <c r="I12" s="246">
        <f t="shared" si="4"/>
        <v>6.2047527397260271E-2</v>
      </c>
      <c r="J12" s="246">
        <f t="shared" si="4"/>
        <v>5.692683561643852E-2</v>
      </c>
      <c r="K12" s="246">
        <f t="shared" si="4"/>
        <v>5.1816643835616238E-2</v>
      </c>
      <c r="L12" s="246">
        <f t="shared" si="4"/>
        <v>4.6716952054794314E-2</v>
      </c>
      <c r="M12" s="246">
        <f t="shared" si="4"/>
        <v>4.1627760273972525E-2</v>
      </c>
      <c r="N12" s="246">
        <f t="shared" si="4"/>
        <v>3.6549068493150871E-2</v>
      </c>
      <c r="O12" s="246">
        <f t="shared" si="4"/>
        <v>3.1480876712328465E-2</v>
      </c>
      <c r="P12" s="246">
        <f t="shared" si="4"/>
        <v>2.642318493150686E-2</v>
      </c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</row>
    <row r="13" spans="1:36" ht="15.6">
      <c r="A13" s="250" t="s">
        <v>304</v>
      </c>
      <c r="B13" s="246">
        <f>B9/B20</f>
        <v>0.85821077771560728</v>
      </c>
      <c r="C13" s="246">
        <f t="shared" ref="C13:D13" si="5">C9/C20</f>
        <v>0.84708813085410206</v>
      </c>
      <c r="D13" s="246">
        <f t="shared" si="5"/>
        <v>0.84056949260207547</v>
      </c>
      <c r="E13" s="246">
        <f>E9/E20</f>
        <v>0.79337004294916935</v>
      </c>
      <c r="F13" s="246">
        <f>F9/F20</f>
        <v>0.74877801794198517</v>
      </c>
      <c r="G13" s="246">
        <f>G9/G$20</f>
        <v>0.71122451914736173</v>
      </c>
      <c r="H13" s="246">
        <f t="shared" ref="H13:P13" si="6">H9/H$20</f>
        <v>0.67372354985063709</v>
      </c>
      <c r="I13" s="246">
        <f t="shared" si="6"/>
        <v>0.6474295981306446</v>
      </c>
      <c r="J13" s="246">
        <f t="shared" si="6"/>
        <v>0.63034095540305468</v>
      </c>
      <c r="K13" s="246">
        <f t="shared" si="6"/>
        <v>0.62091716349433979</v>
      </c>
      <c r="L13" s="246">
        <f t="shared" si="6"/>
        <v>0.61792802902366128</v>
      </c>
      <c r="M13" s="246">
        <f t="shared" si="6"/>
        <v>0.62033848927444857</v>
      </c>
      <c r="N13" s="246">
        <f t="shared" si="6"/>
        <v>0.62721775887141584</v>
      </c>
      <c r="O13" s="246">
        <f t="shared" si="6"/>
        <v>0.63766577265893676</v>
      </c>
      <c r="P13" s="246">
        <f t="shared" si="6"/>
        <v>0.65075339072977223</v>
      </c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</row>
    <row r="14" spans="1:36" ht="15.6">
      <c r="A14" s="223" t="s">
        <v>280</v>
      </c>
      <c r="B14" s="249">
        <v>297.69</v>
      </c>
      <c r="C14" s="249">
        <v>520.37199999999996</v>
      </c>
      <c r="D14" s="249">
        <v>681.63300000000004</v>
      </c>
      <c r="E14" s="249">
        <v>963.76</v>
      </c>
      <c r="F14" s="249">
        <v>1361.337</v>
      </c>
      <c r="G14" s="242">
        <f t="shared" ref="G14:P14" si="7">G29*G47</f>
        <v>1865.1205615549304</v>
      </c>
      <c r="H14" s="242">
        <f t="shared" si="7"/>
        <v>2477.3484140833184</v>
      </c>
      <c r="I14" s="242">
        <f t="shared" si="7"/>
        <v>3188.5564780993755</v>
      </c>
      <c r="J14" s="242">
        <f t="shared" si="7"/>
        <v>3974.7435349048305</v>
      </c>
      <c r="K14" s="242">
        <f t="shared" si="7"/>
        <v>4796.2971960125942</v>
      </c>
      <c r="L14" s="242">
        <f t="shared" si="7"/>
        <v>5599.5297634240787</v>
      </c>
      <c r="M14" s="242">
        <f t="shared" si="7"/>
        <v>6321.2677797449114</v>
      </c>
      <c r="N14" s="242">
        <f t="shared" si="7"/>
        <v>6896.2718950489807</v>
      </c>
      <c r="O14" s="242">
        <f t="shared" si="7"/>
        <v>7266.4756430740936</v>
      </c>
      <c r="P14" s="242">
        <f t="shared" si="7"/>
        <v>7390.3510791134804</v>
      </c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</row>
    <row r="15" spans="1:36" ht="15.6">
      <c r="A15" s="250" t="s">
        <v>306</v>
      </c>
      <c r="B15" s="242"/>
      <c r="C15" s="251">
        <f t="shared" ref="C15:E15" si="8">C14/B14-1</f>
        <v>0.74803318888776893</v>
      </c>
      <c r="D15" s="251">
        <f t="shared" si="8"/>
        <v>0.3098956131382935</v>
      </c>
      <c r="E15" s="246">
        <f t="shared" si="8"/>
        <v>0.41389868154857523</v>
      </c>
      <c r="F15" s="246">
        <f t="shared" ref="F15" si="9">F14/E14-1</f>
        <v>0.41252697767078939</v>
      </c>
      <c r="G15" s="246">
        <f t="shared" ref="G15" si="10">G14/F14-1</f>
        <v>0.3700652825530566</v>
      </c>
      <c r="H15" s="246">
        <f t="shared" ref="H15" si="11">H14/G14-1</f>
        <v>0.32825108743532394</v>
      </c>
      <c r="I15" s="246">
        <f t="shared" ref="I15" si="12">I14/H14-1</f>
        <v>0.28708439231759098</v>
      </c>
      <c r="J15" s="246">
        <f t="shared" ref="J15" si="13">J14/I14-1</f>
        <v>0.24656519719985726</v>
      </c>
      <c r="K15" s="246">
        <f t="shared" ref="K15" si="14">K14/J14-1</f>
        <v>0.20669350208212478</v>
      </c>
      <c r="L15" s="246">
        <f t="shared" ref="L15" si="15">L14/K14-1</f>
        <v>0.16746930696439177</v>
      </c>
      <c r="M15" s="246">
        <f t="shared" ref="M15" si="16">M14/L14-1</f>
        <v>0.12889261184665868</v>
      </c>
      <c r="N15" s="246">
        <f t="shared" ref="N15" si="17">N14/M14-1</f>
        <v>9.0963416728925939E-2</v>
      </c>
      <c r="O15" s="246">
        <f t="shared" ref="O15" si="18">O14/N14-1</f>
        <v>5.368172161119289E-2</v>
      </c>
      <c r="P15" s="246">
        <f t="shared" ref="P15" si="19">P14/O14-1</f>
        <v>1.7047526493459975E-2</v>
      </c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</row>
    <row r="16" spans="1:36" ht="15.6">
      <c r="A16" s="250" t="s">
        <v>304</v>
      </c>
      <c r="B16" s="246">
        <f>B14/B20</f>
        <v>6.762793797830427E-2</v>
      </c>
      <c r="C16" s="246">
        <f t="shared" ref="C16:D16" si="20">C14/C20</f>
        <v>8.3171464706885523E-2</v>
      </c>
      <c r="D16" s="246">
        <f t="shared" si="20"/>
        <v>8.4043090712578414E-2</v>
      </c>
      <c r="E16" s="246">
        <f t="shared" ref="E16:F16" si="21">E14/E20</f>
        <v>0.10019047167573283</v>
      </c>
      <c r="F16" s="246">
        <f t="shared" si="21"/>
        <v>0.1285720438158745</v>
      </c>
      <c r="G16" s="246">
        <f>G14/G$20</f>
        <v>0.15603314800381574</v>
      </c>
      <c r="H16" s="246">
        <f t="shared" ref="H16:P16" si="22">H14/H$20</f>
        <v>0.18396487189092434</v>
      </c>
      <c r="I16" s="246">
        <f t="shared" si="22"/>
        <v>0.2142440629240521</v>
      </c>
      <c r="J16" s="246">
        <f t="shared" si="22"/>
        <v>0.24601514534886745</v>
      </c>
      <c r="K16" s="246">
        <f t="shared" si="22"/>
        <v>0.27802056322622554</v>
      </c>
      <c r="L16" s="246">
        <f t="shared" si="22"/>
        <v>0.30860102410582096</v>
      </c>
      <c r="M16" s="246">
        <f t="shared" si="22"/>
        <v>0.33575947795761935</v>
      </c>
      <c r="N16" s="246">
        <f t="shared" si="22"/>
        <v>0.35730428223977295</v>
      </c>
      <c r="O16" s="246">
        <f t="shared" si="22"/>
        <v>0.37107461616312459</v>
      </c>
      <c r="P16" s="246">
        <f t="shared" si="22"/>
        <v>0.37523157363422532</v>
      </c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</row>
    <row r="17" spans="1:36" ht="15.6">
      <c r="A17" s="223" t="s">
        <v>303</v>
      </c>
      <c r="B17" s="249">
        <v>326.44900000000001</v>
      </c>
      <c r="C17" s="249">
        <v>436.339</v>
      </c>
      <c r="D17" s="249">
        <v>611.43100000000004</v>
      </c>
      <c r="E17" s="249">
        <v>1023.871</v>
      </c>
      <c r="F17" s="249">
        <v>1298.633</v>
      </c>
      <c r="G17" s="242">
        <f>G34*(G61+G74)</f>
        <v>1586.7170377095313</v>
      </c>
      <c r="H17" s="242">
        <f t="shared" ref="G17:P17" si="23">H34*(H61+H74)</f>
        <v>1916.4276259941228</v>
      </c>
      <c r="I17" s="242">
        <f t="shared" si="23"/>
        <v>2272.7906304967655</v>
      </c>
      <c r="J17" s="242">
        <f t="shared" si="23"/>
        <v>2646.1535166504832</v>
      </c>
      <c r="K17" s="242">
        <f t="shared" si="23"/>
        <v>3023.8848049002463</v>
      </c>
      <c r="L17" s="242">
        <f t="shared" si="23"/>
        <v>3390.8441205231074</v>
      </c>
      <c r="M17" s="242">
        <f t="shared" si="23"/>
        <v>3730.2035483022719</v>
      </c>
      <c r="N17" s="242">
        <f t="shared" si="23"/>
        <v>4024.585761399198</v>
      </c>
      <c r="O17" s="242">
        <f t="shared" si="23"/>
        <v>4257.4321287034209</v>
      </c>
      <c r="P17" s="242">
        <f t="shared" si="23"/>
        <v>4414.4661458882783</v>
      </c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</row>
    <row r="18" spans="1:36" ht="15.6">
      <c r="A18" s="250" t="s">
        <v>306</v>
      </c>
      <c r="B18" s="241"/>
      <c r="C18" s="246">
        <v>0.53</v>
      </c>
      <c r="D18" s="246">
        <f t="shared" ref="D18" si="24">D17/C17-1</f>
        <v>0.40127515532647795</v>
      </c>
      <c r="E18" s="246">
        <f t="shared" ref="E18" si="25">E17/D17-1</f>
        <v>0.67454872258684939</v>
      </c>
      <c r="F18" s="246">
        <f t="shared" ref="F18" si="26">F17/E17-1</f>
        <v>0.26835607220050184</v>
      </c>
      <c r="G18" s="246">
        <f t="shared" ref="G18" si="27">G17/F17-1</f>
        <v>0.22183637541132195</v>
      </c>
      <c r="H18" s="246">
        <f t="shared" ref="H18" si="28">H17/G17-1</f>
        <v>0.20779419420650935</v>
      </c>
      <c r="I18" s="246">
        <f t="shared" ref="I18" si="29">I17/H17-1</f>
        <v>0.1859517154047412</v>
      </c>
      <c r="J18" s="246">
        <f t="shared" ref="J18" si="30">J17/I17-1</f>
        <v>0.16427509034218057</v>
      </c>
      <c r="K18" s="246">
        <f t="shared" ref="K18" si="31">K17/J17-1</f>
        <v>0.14274730693928062</v>
      </c>
      <c r="L18" s="246">
        <f t="shared" ref="L18" si="32">L17/K17-1</f>
        <v>0.12135360283176078</v>
      </c>
      <c r="M18" s="246">
        <f t="shared" ref="M18" si="33">M17/L17-1</f>
        <v>0.10008110538764936</v>
      </c>
      <c r="N18" s="246">
        <f t="shared" ref="N18" si="34">N17/M17-1</f>
        <v>7.8918538703044216E-2</v>
      </c>
      <c r="O18" s="246">
        <f t="shared" ref="O18" si="35">O17/N17-1</f>
        <v>5.7855983474749184E-2</v>
      </c>
      <c r="P18" s="246">
        <f t="shared" ref="P18" si="36">P17/O17-1</f>
        <v>3.688467894206493E-2</v>
      </c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</row>
    <row r="19" spans="1:36" ht="15.6">
      <c r="A19" s="250" t="s">
        <v>304</v>
      </c>
      <c r="B19" s="246">
        <f>B17/B20</f>
        <v>7.4161284306088385E-2</v>
      </c>
      <c r="C19" s="246">
        <f>C17/C20</f>
        <v>6.9740404439012332E-2</v>
      </c>
      <c r="D19" s="246">
        <f t="shared" ref="D19:F19" si="37">D17/D20</f>
        <v>7.5387416685346126E-2</v>
      </c>
      <c r="E19" s="246">
        <f t="shared" si="37"/>
        <v>0.1064394853750978</v>
      </c>
      <c r="F19" s="246">
        <f t="shared" si="37"/>
        <v>0.12264993824214029</v>
      </c>
      <c r="G19" s="246">
        <f>G17/G$20</f>
        <v>0.13274233284882253</v>
      </c>
      <c r="H19" s="246">
        <f t="shared" ref="H19:P19" si="38">H17/H$20</f>
        <v>0.14231157825843865</v>
      </c>
      <c r="I19" s="246">
        <f t="shared" si="38"/>
        <v>0.15271233305661686</v>
      </c>
      <c r="J19" s="246">
        <f t="shared" si="38"/>
        <v>0.16378260290189325</v>
      </c>
      <c r="K19" s="246">
        <f t="shared" si="38"/>
        <v>0.17528149783722954</v>
      </c>
      <c r="L19" s="246">
        <f t="shared" si="38"/>
        <v>0.18687604359419538</v>
      </c>
      <c r="M19" s="246">
        <f t="shared" si="38"/>
        <v>0.19813291252536869</v>
      </c>
      <c r="N19" s="246">
        <f t="shared" si="38"/>
        <v>0.20851871107656453</v>
      </c>
      <c r="O19" s="246">
        <f t="shared" si="38"/>
        <v>0.21741282440063736</v>
      </c>
      <c r="P19" s="246">
        <f t="shared" si="38"/>
        <v>0.22413645318665615</v>
      </c>
      <c r="Q19" s="223"/>
      <c r="R19" s="223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</row>
    <row r="20" spans="1:36" ht="15.6">
      <c r="A20" s="223" t="s">
        <v>305</v>
      </c>
      <c r="B20" s="243">
        <f>'Financial Statements'!C10</f>
        <v>4401.8789999999999</v>
      </c>
      <c r="C20" s="243">
        <f>'Financial Statements'!D10</f>
        <v>6256.6170000000002</v>
      </c>
      <c r="D20" s="243">
        <f>'Financial Statements'!E10</f>
        <v>8110.518</v>
      </c>
      <c r="E20" s="243">
        <f>'Financial Statements'!F10</f>
        <v>9619.2780000000002</v>
      </c>
      <c r="F20" s="243">
        <f>'Financial Statements'!G10</f>
        <v>10588.126</v>
      </c>
      <c r="G20" s="242">
        <f>SUM(G17+G14+G9)</f>
        <v>11953.361099330763</v>
      </c>
      <c r="H20" s="242">
        <f t="shared" ref="H20" si="39">SUM(H17+H14+H9)</f>
        <v>13466.420999940561</v>
      </c>
      <c r="I20" s="242">
        <f>H20*(1+I21)</f>
        <v>14882.823050409077</v>
      </c>
      <c r="J20" s="242">
        <f t="shared" ref="J20:P20" si="40">I20*(1+J21)</f>
        <v>16156.499345877075</v>
      </c>
      <c r="K20" s="242">
        <f t="shared" si="40"/>
        <v>17251.591538248354</v>
      </c>
      <c r="L20" s="242">
        <f t="shared" si="40"/>
        <v>18144.883931117383</v>
      </c>
      <c r="M20" s="242">
        <f t="shared" si="40"/>
        <v>18826.773910289445</v>
      </c>
      <c r="N20" s="242">
        <f t="shared" si="40"/>
        <v>19300.837515351024</v>
      </c>
      <c r="O20" s="242">
        <f t="shared" si="40"/>
        <v>19582.249301255753</v>
      </c>
      <c r="P20" s="242">
        <f t="shared" si="40"/>
        <v>19695.440358432028</v>
      </c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  <c r="AI20" s="223"/>
      <c r="AJ20" s="223"/>
    </row>
    <row r="21" spans="1:36" ht="15.6">
      <c r="A21" s="250" t="s">
        <v>336</v>
      </c>
      <c r="B21" s="243"/>
      <c r="C21" s="246">
        <v>0.53</v>
      </c>
      <c r="D21" s="246">
        <f t="shared" ref="D21" si="41">D20/C20-1</f>
        <v>0.29631045020016411</v>
      </c>
      <c r="E21" s="246">
        <f t="shared" ref="E21" si="42">E20/D20-1</f>
        <v>0.18602510961691965</v>
      </c>
      <c r="F21" s="246">
        <f t="shared" ref="F21" si="43">F20/E20-1</f>
        <v>0.1007194095024595</v>
      </c>
      <c r="G21" s="246">
        <f t="shared" ref="G21" si="44">G20/F20-1</f>
        <v>0.12894020144176244</v>
      </c>
      <c r="H21" s="246">
        <f>H20/G20-1</f>
        <v>0.12658028884398975</v>
      </c>
      <c r="I21" s="246">
        <f>H21+$S$21-($S$22*I22)</f>
        <v>0.10518028884398976</v>
      </c>
      <c r="J21" s="246">
        <f t="shared" ref="J21:P21" si="45">I21+$S$21-($S$22*J22)</f>
        <v>8.5580288843989757E-2</v>
      </c>
      <c r="K21" s="246">
        <f t="shared" si="45"/>
        <v>6.7780288843989761E-2</v>
      </c>
      <c r="L21" s="246">
        <f t="shared" si="45"/>
        <v>5.1780288843989761E-2</v>
      </c>
      <c r="M21" s="246">
        <f t="shared" si="45"/>
        <v>3.7580288843989756E-2</v>
      </c>
      <c r="N21" s="246">
        <f t="shared" si="45"/>
        <v>2.5180288843989755E-2</v>
      </c>
      <c r="O21" s="246">
        <f t="shared" si="45"/>
        <v>1.4580288843989753E-2</v>
      </c>
      <c r="P21" s="246">
        <f t="shared" si="45"/>
        <v>5.7802888439897511E-3</v>
      </c>
      <c r="Q21" s="223"/>
      <c r="R21" s="227" t="s">
        <v>274</v>
      </c>
      <c r="S21" s="282">
        <v>-2.5000000000000001E-2</v>
      </c>
      <c r="T21" s="508"/>
      <c r="U21" s="508"/>
      <c r="V21" s="508"/>
      <c r="W21" s="508"/>
      <c r="X21" s="508"/>
      <c r="Y21" s="508"/>
      <c r="Z21" s="508"/>
      <c r="AA21" s="508"/>
      <c r="AB21" s="508"/>
      <c r="AC21" s="508"/>
      <c r="AD21" s="223"/>
      <c r="AE21" s="227" t="s">
        <v>450</v>
      </c>
      <c r="AF21" s="223"/>
      <c r="AG21" s="223"/>
      <c r="AH21" s="223"/>
      <c r="AI21" s="223"/>
      <c r="AJ21" s="223"/>
    </row>
    <row r="22" spans="1:36" ht="15.6">
      <c r="A22" s="250"/>
      <c r="B22" s="249"/>
      <c r="C22" s="251"/>
      <c r="D22" s="251"/>
      <c r="E22" s="251"/>
      <c r="F22" s="251"/>
      <c r="G22" s="242"/>
      <c r="H22" s="346">
        <v>1</v>
      </c>
      <c r="I22" s="346">
        <v>2</v>
      </c>
      <c r="J22" s="346">
        <v>3</v>
      </c>
      <c r="K22" s="346">
        <v>4</v>
      </c>
      <c r="L22" s="346">
        <v>5</v>
      </c>
      <c r="M22" s="346">
        <v>6</v>
      </c>
      <c r="N22" s="346">
        <v>7</v>
      </c>
      <c r="O22" s="346">
        <v>8</v>
      </c>
      <c r="P22" s="346">
        <v>9</v>
      </c>
      <c r="Q22" s="223"/>
      <c r="R22" s="227" t="s">
        <v>426</v>
      </c>
      <c r="S22" s="282">
        <v>-1.8E-3</v>
      </c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223"/>
      <c r="AE22" s="227" t="s">
        <v>450</v>
      </c>
      <c r="AF22" s="223"/>
      <c r="AG22" s="223"/>
      <c r="AH22" s="223"/>
      <c r="AI22" s="223"/>
      <c r="AJ22" s="223"/>
    </row>
    <row r="23" spans="1:36" ht="15.6">
      <c r="A23" s="237" t="s">
        <v>307</v>
      </c>
      <c r="B23" s="249"/>
      <c r="C23" s="251"/>
      <c r="D23" s="251"/>
      <c r="E23" s="251"/>
      <c r="F23" s="251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</row>
    <row r="24" spans="1:36" ht="15.6">
      <c r="A24" s="250" t="s">
        <v>279</v>
      </c>
      <c r="B24" s="276">
        <f>B9/B44</f>
        <v>10.02053050397878</v>
      </c>
      <c r="C24" s="276">
        <f>C9/C44</f>
        <v>13.694847545219638</v>
      </c>
      <c r="D24" s="276">
        <f>D9/D44</f>
        <v>16.270773269689737</v>
      </c>
      <c r="E24" s="277">
        <f>E9/E44</f>
        <v>17.423851598173517</v>
      </c>
      <c r="F24" s="277">
        <f>F9/F44</f>
        <v>17.160510822510822</v>
      </c>
      <c r="G24" s="260">
        <f>F24*(1+G28)</f>
        <v>17.503721038961039</v>
      </c>
      <c r="H24" s="260">
        <f t="shared" ref="H24" si="46">G24*(1+H28)</f>
        <v>17.827539878181817</v>
      </c>
      <c r="I24" s="260">
        <f t="shared" ref="I24" si="47">H24*(1+I28)</f>
        <v>18.130608056110905</v>
      </c>
      <c r="J24" s="260">
        <f t="shared" ref="J24" si="48">I24*(1+J28)</f>
        <v>18.411632480980625</v>
      </c>
      <c r="K24" s="260">
        <f t="shared" ref="K24" si="49">J24*(1+K28)</f>
        <v>18.669395335714356</v>
      </c>
      <c r="L24" s="260">
        <f t="shared" ref="L24" si="50">K24*(1+L28)</f>
        <v>18.902762777410786</v>
      </c>
      <c r="M24" s="260">
        <f t="shared" ref="M24" si="51">L24*(1+M28)</f>
        <v>19.110693167962303</v>
      </c>
      <c r="N24" s="260">
        <f t="shared" ref="N24" si="52">M24*(1+N28)</f>
        <v>19.292244753057947</v>
      </c>
      <c r="O24" s="260">
        <f t="shared" ref="O24" si="53">N24*(1+O28)</f>
        <v>19.44658271108241</v>
      </c>
      <c r="P24" s="260">
        <f t="shared" ref="P24" si="54">O24*(1+P28)</f>
        <v>19.572985498704444</v>
      </c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</row>
    <row r="25" spans="1:36" ht="15.6" hidden="1" outlineLevel="1">
      <c r="A25" s="281" t="s">
        <v>347</v>
      </c>
      <c r="B25" s="276">
        <f>B24*B$86</f>
        <v>2.1698459515525084</v>
      </c>
      <c r="C25" s="276">
        <f t="shared" ref="C25:F25" si="55">C24*C$86</f>
        <v>3.3617578960523837</v>
      </c>
      <c r="D25" s="276">
        <f t="shared" si="55"/>
        <v>3.9252027454992984</v>
      </c>
      <c r="E25" s="276">
        <f t="shared" si="55"/>
        <v>4.0805176811960511</v>
      </c>
      <c r="F25" s="276">
        <f t="shared" si="55"/>
        <v>4.1464474145939745</v>
      </c>
      <c r="G25" s="276">
        <f t="shared" ref="G25" si="56">G24*G$86</f>
        <v>4.6156416679588741</v>
      </c>
      <c r="H25" s="276">
        <f t="shared" ref="H25" si="57">H24*H$86</f>
        <v>5.0669944342667863</v>
      </c>
      <c r="I25" s="276">
        <f t="shared" ref="I25" si="58">I24*I$86</f>
        <v>5.4885610775960307</v>
      </c>
      <c r="J25" s="276">
        <f t="shared" ref="J25" si="59">J24*J$86</f>
        <v>5.8690805488672551</v>
      </c>
      <c r="K25" s="276">
        <f t="shared" ref="K25" si="60">K24*K$86</f>
        <v>6.1982733525317899</v>
      </c>
      <c r="L25" s="276">
        <f t="shared" ref="L25" si="61">L24*L$86</f>
        <v>6.4670250794986508</v>
      </c>
      <c r="M25" s="276">
        <f t="shared" ref="M25" si="62">M24*M$86</f>
        <v>6.6674874005827496</v>
      </c>
      <c r="N25" s="276">
        <f t="shared" ref="N25" si="63">N24*N$86</f>
        <v>6.7931390931599669</v>
      </c>
      <c r="O25" s="276">
        <f t="shared" ref="O25" si="64">O24*O$86</f>
        <v>6.8388522377198804</v>
      </c>
      <c r="P25" s="276">
        <f t="shared" ref="P25" si="65">P24*P$86</f>
        <v>6.801004887182776</v>
      </c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3"/>
      <c r="AE25" s="223"/>
      <c r="AF25" s="223"/>
      <c r="AG25" s="223"/>
      <c r="AH25" s="223"/>
      <c r="AI25" s="223"/>
      <c r="AJ25" s="223"/>
    </row>
    <row r="26" spans="1:36" ht="15.6" hidden="1" outlineLevel="1">
      <c r="A26" s="281" t="s">
        <v>348</v>
      </c>
      <c r="B26" s="276">
        <f>B24*B$83</f>
        <v>6.942870557611398</v>
      </c>
      <c r="C26" s="276">
        <f t="shared" ref="C26:P26" si="66">C24*C$83</f>
        <v>9.1313955425017319</v>
      </c>
      <c r="D26" s="276">
        <f t="shared" si="66"/>
        <v>10.551861429348147</v>
      </c>
      <c r="E26" s="276">
        <f t="shared" si="66"/>
        <v>11.135024629371054</v>
      </c>
      <c r="F26" s="276">
        <f t="shared" si="66"/>
        <v>10.846957199608372</v>
      </c>
      <c r="G26" s="276">
        <f t="shared" si="66"/>
        <v>10.730316117674876</v>
      </c>
      <c r="H26" s="276">
        <f t="shared" si="66"/>
        <v>10.614159583485964</v>
      </c>
      <c r="I26" s="276">
        <f t="shared" si="66"/>
        <v>10.507274984787173</v>
      </c>
      <c r="J26" s="276">
        <f t="shared" si="66"/>
        <v>10.417909528095725</v>
      </c>
      <c r="K26" s="276">
        <f t="shared" si="66"/>
        <v>10.353545216542285</v>
      </c>
      <c r="L26" s="276">
        <f t="shared" si="66"/>
        <v>10.320768175230748</v>
      </c>
      <c r="M26" s="276">
        <f t="shared" si="66"/>
        <v>10.325204757037366</v>
      </c>
      <c r="N26" s="276">
        <f t="shared" si="66"/>
        <v>10.371488412465844</v>
      </c>
      <c r="O26" s="276">
        <f t="shared" si="66"/>
        <v>10.463219446980299</v>
      </c>
      <c r="P26" s="276">
        <f t="shared" si="66"/>
        <v>10.602883039985134</v>
      </c>
      <c r="Q26" s="223"/>
      <c r="R26" s="223"/>
      <c r="S26" s="223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</row>
    <row r="27" spans="1:36" ht="15.6" hidden="1" outlineLevel="1">
      <c r="A27" s="281" t="s">
        <v>349</v>
      </c>
      <c r="B27" s="276">
        <f>B24*B$89</f>
        <v>0.9078139948148729</v>
      </c>
      <c r="C27" s="276">
        <f t="shared" ref="C27:P27" si="67">C24*C$89</f>
        <v>1.20169410666552</v>
      </c>
      <c r="D27" s="276">
        <f t="shared" si="67"/>
        <v>1.7034331350162915</v>
      </c>
      <c r="E27" s="276">
        <f t="shared" si="67"/>
        <v>2.2083092876064128</v>
      </c>
      <c r="F27" s="276">
        <f t="shared" si="67"/>
        <v>2.1671062083084753</v>
      </c>
      <c r="G27" s="276">
        <f t="shared" si="67"/>
        <v>2.1577632533272881</v>
      </c>
      <c r="H27" s="276">
        <f t="shared" si="67"/>
        <v>2.1463858604290653</v>
      </c>
      <c r="I27" s="276">
        <f t="shared" si="67"/>
        <v>2.1347719937277003</v>
      </c>
      <c r="J27" s="276">
        <f t="shared" si="67"/>
        <v>2.1246424040176448</v>
      </c>
      <c r="K27" s="276">
        <f t="shared" si="67"/>
        <v>2.1175767666402803</v>
      </c>
      <c r="L27" s="276">
        <f t="shared" si="67"/>
        <v>2.1149695226813865</v>
      </c>
      <c r="M27" s="276">
        <f t="shared" si="67"/>
        <v>2.1180010103421889</v>
      </c>
      <c r="N27" s="276">
        <f t="shared" si="67"/>
        <v>2.1276172474321347</v>
      </c>
      <c r="O27" s="276">
        <f t="shared" si="67"/>
        <v>2.1445110263822302</v>
      </c>
      <c r="P27" s="276">
        <f t="shared" si="67"/>
        <v>2.1690975715365348</v>
      </c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</row>
    <row r="28" spans="1:36" ht="15.6" collapsed="1">
      <c r="A28" s="281" t="s">
        <v>346</v>
      </c>
      <c r="B28" s="242"/>
      <c r="C28" s="246">
        <f t="shared" ref="C28" si="68">C24/B24-1</f>
        <v>0.36667889387512198</v>
      </c>
      <c r="D28" s="246">
        <f t="shared" ref="D28" si="69">D24/C24-1</f>
        <v>0.18809451627442608</v>
      </c>
      <c r="E28" s="246">
        <f t="shared" ref="E28" si="70">E24/D24-1</f>
        <v>7.0868071810195277E-2</v>
      </c>
      <c r="F28" s="246">
        <f t="shared" ref="F28" si="71">F24/E24-1</f>
        <v>-1.5113809606269846E-2</v>
      </c>
      <c r="G28" s="274">
        <v>0.02</v>
      </c>
      <c r="H28" s="246">
        <f t="shared" ref="H28:P38" si="72">G28+$S28</f>
        <v>1.8499999999999999E-2</v>
      </c>
      <c r="I28" s="246">
        <f t="shared" si="72"/>
        <v>1.6999999999999998E-2</v>
      </c>
      <c r="J28" s="246">
        <f t="shared" si="72"/>
        <v>1.5499999999999998E-2</v>
      </c>
      <c r="K28" s="246">
        <f t="shared" si="72"/>
        <v>1.3999999999999999E-2</v>
      </c>
      <c r="L28" s="246">
        <f t="shared" si="72"/>
        <v>1.2499999999999999E-2</v>
      </c>
      <c r="M28" s="246">
        <f t="shared" si="72"/>
        <v>1.0999999999999999E-2</v>
      </c>
      <c r="N28" s="246">
        <f t="shared" si="72"/>
        <v>9.4999999999999998E-3</v>
      </c>
      <c r="O28" s="246">
        <f t="shared" si="72"/>
        <v>8.0000000000000002E-3</v>
      </c>
      <c r="P28" s="246">
        <f t="shared" si="72"/>
        <v>6.5000000000000006E-3</v>
      </c>
      <c r="Q28" s="223"/>
      <c r="R28" s="227" t="s">
        <v>274</v>
      </c>
      <c r="S28" s="282">
        <v>-1.5E-3</v>
      </c>
      <c r="T28" s="508"/>
      <c r="U28" s="508"/>
      <c r="V28" s="508"/>
      <c r="W28" s="508"/>
      <c r="X28" s="508"/>
      <c r="Y28" s="508"/>
      <c r="Z28" s="508"/>
      <c r="AA28" s="508"/>
      <c r="AB28" s="508"/>
      <c r="AC28" s="508"/>
      <c r="AD28" s="227"/>
      <c r="AE28" s="227" t="s">
        <v>451</v>
      </c>
      <c r="AF28" s="223"/>
      <c r="AG28" s="223"/>
      <c r="AH28" s="223"/>
      <c r="AI28" s="223"/>
      <c r="AJ28" s="223"/>
    </row>
    <row r="29" spans="1:36" ht="15.6">
      <c r="A29" s="250" t="s">
        <v>280</v>
      </c>
      <c r="B29" s="276">
        <f>B14/B47</f>
        <v>6.7656818181818181</v>
      </c>
      <c r="C29" s="276">
        <f>C14/C47</f>
        <v>7.4338857142857133</v>
      </c>
      <c r="D29" s="276">
        <f>D14/D47</f>
        <v>6.8851818181818185</v>
      </c>
      <c r="E29" s="277">
        <f>E14/E47</f>
        <v>7.5886614173228342</v>
      </c>
      <c r="F29" s="277">
        <f>F14/F47</f>
        <v>9.0154768211920526</v>
      </c>
      <c r="G29" s="260">
        <f>F29*(1+G33)</f>
        <v>10.552790326261141</v>
      </c>
      <c r="H29" s="260">
        <f t="shared" ref="H29" si="73">G29*(1+H33)</f>
        <v>12.167571744173534</v>
      </c>
      <c r="I29" s="260">
        <f t="shared" ref="I29" si="74">H29*(1+I33)</f>
        <v>13.816513505659513</v>
      </c>
      <c r="J29" s="260">
        <f t="shared" ref="J29" si="75">I29*(1+J33)</f>
        <v>15.447129843612464</v>
      </c>
      <c r="K29" s="260">
        <f t="shared" ref="K29" si="76">J29*(1+K33)</f>
        <v>16.999865736194792</v>
      </c>
      <c r="L29" s="260">
        <f t="shared" ref="L29" si="77">K29*(1+L33)</f>
        <v>18.411184025400658</v>
      </c>
      <c r="M29" s="260">
        <f t="shared" ref="M29" si="78">L29*(1+M33)</f>
        <v>19.617473361497481</v>
      </c>
      <c r="N29" s="260">
        <f t="shared" ref="N29" si="79">M29*(1+N33)</f>
        <v>20.559492241445742</v>
      </c>
      <c r="O29" s="260">
        <f t="shared" ref="O29" si="80">N29*(1+O33)</f>
        <v>21.186955168385776</v>
      </c>
      <c r="P29" s="260">
        <f t="shared" ref="P29" si="81">O29*(1+P33)</f>
        <v>21.462796158485482</v>
      </c>
      <c r="Q29" s="223"/>
      <c r="R29" s="26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61"/>
      <c r="AE29" s="261"/>
      <c r="AF29" s="223"/>
      <c r="AG29" s="223"/>
      <c r="AH29" s="223"/>
      <c r="AI29" s="223"/>
      <c r="AJ29" s="223"/>
    </row>
    <row r="30" spans="1:36" ht="15.6" hidden="1" outlineLevel="1">
      <c r="A30" s="281" t="s">
        <v>347</v>
      </c>
      <c r="B30" s="276">
        <f>B29*B$86</f>
        <v>1.4650409274084999</v>
      </c>
      <c r="C30" s="276">
        <f t="shared" ref="C30" si="82">C29*C$86</f>
        <v>1.8248413438581443</v>
      </c>
      <c r="D30" s="276">
        <f t="shared" ref="D30" si="83">D29*D$86</f>
        <v>1.6609987815597207</v>
      </c>
      <c r="E30" s="276">
        <f t="shared" ref="E30" si="84">E29*E$86</f>
        <v>1.7771998869206469</v>
      </c>
      <c r="F30" s="276">
        <f t="shared" ref="F30" si="85">F29*F$86</f>
        <v>2.1783850692560067</v>
      </c>
      <c r="G30" s="276">
        <f t="shared" ref="G30" si="86">G29*G$86</f>
        <v>2.7827168083121698</v>
      </c>
      <c r="H30" s="276">
        <f t="shared" ref="H30" si="87">H29*H$86</f>
        <v>3.4583020836050955</v>
      </c>
      <c r="I30" s="276">
        <f t="shared" ref="I30" si="88">I29*I$86</f>
        <v>4.1825832879158913</v>
      </c>
      <c r="J30" s="276">
        <f t="shared" ref="J30" si="89">J29*J$86</f>
        <v>4.9240853245699867</v>
      </c>
      <c r="K30" s="276">
        <f t="shared" ref="K30" si="90">K29*K$86</f>
        <v>5.6439864759681342</v>
      </c>
      <c r="L30" s="276">
        <f t="shared" ref="L30" si="91">L29*L$86</f>
        <v>6.2988458479633973</v>
      </c>
      <c r="M30" s="276">
        <f t="shared" ref="M30" si="92">M29*M$86</f>
        <v>6.8442968195589931</v>
      </c>
      <c r="N30" s="276">
        <f t="shared" ref="N30" si="93">N29*N$86</f>
        <v>7.2393592486818585</v>
      </c>
      <c r="O30" s="276">
        <f t="shared" ref="O30" si="94">O29*O$86</f>
        <v>7.450895507785642</v>
      </c>
      <c r="P30" s="276">
        <f t="shared" ref="P30" si="95">P29*P$86</f>
        <v>7.4576554290161443</v>
      </c>
      <c r="Q30" s="223"/>
      <c r="R30" s="26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61"/>
      <c r="AE30" s="261"/>
      <c r="AF30" s="223"/>
      <c r="AG30" s="223"/>
      <c r="AH30" s="223"/>
      <c r="AI30" s="223"/>
      <c r="AJ30" s="223"/>
    </row>
    <row r="31" spans="1:36" ht="15.6" hidden="1" outlineLevel="1">
      <c r="A31" s="281" t="s">
        <v>348</v>
      </c>
      <c r="B31" s="276">
        <f>B29*B$83</f>
        <v>4.6877012229013193</v>
      </c>
      <c r="C31" s="276">
        <f t="shared" ref="C31:P31" si="96">C29*C$83</f>
        <v>4.9567365135503731</v>
      </c>
      <c r="D31" s="276">
        <f t="shared" si="96"/>
        <v>4.4651525319120404</v>
      </c>
      <c r="E31" s="276">
        <f t="shared" si="96"/>
        <v>4.8496700806786857</v>
      </c>
      <c r="F31" s="276">
        <f t="shared" si="96"/>
        <v>5.6985769377711</v>
      </c>
      <c r="G31" s="276">
        <f t="shared" si="96"/>
        <v>6.4691830881146553</v>
      </c>
      <c r="H31" s="276">
        <f t="shared" si="96"/>
        <v>7.2443281080094852</v>
      </c>
      <c r="I31" s="276">
        <f t="shared" si="96"/>
        <v>8.0071173722196036</v>
      </c>
      <c r="J31" s="276">
        <f t="shared" si="96"/>
        <v>8.7404960611581242</v>
      </c>
      <c r="K31" s="276">
        <f t="shared" si="96"/>
        <v>9.4276689421289159</v>
      </c>
      <c r="L31" s="276">
        <f t="shared" si="96"/>
        <v>10.05236982525893</v>
      </c>
      <c r="M31" s="276">
        <f t="shared" si="96"/>
        <v>10.599010066927111</v>
      </c>
      <c r="N31" s="276">
        <f t="shared" si="96"/>
        <v>11.052759193019112</v>
      </c>
      <c r="O31" s="276">
        <f t="shared" si="96"/>
        <v>11.399625560629657</v>
      </c>
      <c r="P31" s="276">
        <f t="shared" si="96"/>
        <v>11.626612475369521</v>
      </c>
      <c r="Q31" s="223"/>
      <c r="R31" s="26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61"/>
      <c r="AE31" s="261"/>
      <c r="AF31" s="223"/>
      <c r="AG31" s="223"/>
      <c r="AH31" s="223"/>
      <c r="AI31" s="223"/>
      <c r="AJ31" s="223"/>
    </row>
    <row r="32" spans="1:36" ht="15.6" hidden="1" outlineLevel="1">
      <c r="A32" s="281" t="s">
        <v>349</v>
      </c>
      <c r="B32" s="276">
        <f>B29*B$89</f>
        <v>0.61293966787199905</v>
      </c>
      <c r="C32" s="276">
        <f t="shared" ref="C32:P32" si="97">C29*C$89</f>
        <v>0.65230785687719539</v>
      </c>
      <c r="D32" s="276">
        <f t="shared" si="97"/>
        <v>0.72082909984070298</v>
      </c>
      <c r="E32" s="276">
        <f t="shared" si="97"/>
        <v>0.96179144972350161</v>
      </c>
      <c r="F32" s="276">
        <f t="shared" si="97"/>
        <v>1.1385148141649459</v>
      </c>
      <c r="G32" s="276">
        <f t="shared" si="97"/>
        <v>1.3008904298343151</v>
      </c>
      <c r="H32" s="276">
        <f t="shared" si="97"/>
        <v>1.4649415525589515</v>
      </c>
      <c r="I32" s="276">
        <f t="shared" si="97"/>
        <v>1.6268128455240176</v>
      </c>
      <c r="J32" s="276">
        <f t="shared" si="97"/>
        <v>1.7825484578843538</v>
      </c>
      <c r="K32" s="276">
        <f t="shared" si="97"/>
        <v>1.9282103180977408</v>
      </c>
      <c r="L32" s="276">
        <f t="shared" si="97"/>
        <v>2.0599683521783319</v>
      </c>
      <c r="M32" s="276">
        <f t="shared" si="97"/>
        <v>2.1741664750113792</v>
      </c>
      <c r="N32" s="276">
        <f t="shared" si="97"/>
        <v>2.2673737997447709</v>
      </c>
      <c r="O32" s="276">
        <f t="shared" si="97"/>
        <v>2.3364340999704774</v>
      </c>
      <c r="P32" s="276">
        <f t="shared" si="97"/>
        <v>2.3785282540998178</v>
      </c>
      <c r="Q32" s="223"/>
      <c r="R32" s="26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61"/>
      <c r="AE32" s="261"/>
      <c r="AF32" s="223"/>
      <c r="AG32" s="223"/>
      <c r="AH32" s="223"/>
      <c r="AI32" s="223"/>
      <c r="AJ32" s="223"/>
    </row>
    <row r="33" spans="1:36" ht="15.6" collapsed="1">
      <c r="A33" s="281" t="s">
        <v>346</v>
      </c>
      <c r="B33" s="242"/>
      <c r="C33" s="246">
        <f t="shared" ref="C33" si="98">C29/B29-1</f>
        <v>9.8763718729454775E-2</v>
      </c>
      <c r="D33" s="246">
        <f t="shared" ref="D33" si="99">D29/C29-1</f>
        <v>-7.381118262948938E-2</v>
      </c>
      <c r="E33" s="246">
        <f t="shared" ref="E33" si="100">E29/D29-1</f>
        <v>0.10217298797881047</v>
      </c>
      <c r="F33" s="246">
        <f t="shared" ref="F33" si="101">F29/E29-1</f>
        <v>0.18801937857079642</v>
      </c>
      <c r="G33" s="246">
        <f>F33+$S33</f>
        <v>0.17051937857079641</v>
      </c>
      <c r="H33" s="246">
        <f t="shared" si="72"/>
        <v>0.15301937857079639</v>
      </c>
      <c r="I33" s="246">
        <f t="shared" si="72"/>
        <v>0.13551937857079638</v>
      </c>
      <c r="J33" s="246">
        <f t="shared" si="72"/>
        <v>0.11801937857079638</v>
      </c>
      <c r="K33" s="246">
        <f t="shared" si="72"/>
        <v>0.10051937857079637</v>
      </c>
      <c r="L33" s="246">
        <f t="shared" si="72"/>
        <v>8.3019378570796373E-2</v>
      </c>
      <c r="M33" s="246">
        <f t="shared" si="72"/>
        <v>6.5519378570796372E-2</v>
      </c>
      <c r="N33" s="246">
        <f t="shared" si="72"/>
        <v>4.801937857079637E-2</v>
      </c>
      <c r="O33" s="246">
        <f t="shared" si="72"/>
        <v>3.0519378570796368E-2</v>
      </c>
      <c r="P33" s="246">
        <f t="shared" si="72"/>
        <v>1.3019378570796367E-2</v>
      </c>
      <c r="Q33" s="223"/>
      <c r="R33" s="227" t="s">
        <v>274</v>
      </c>
      <c r="S33" s="282">
        <v>-1.7500000000000002E-2</v>
      </c>
      <c r="T33" s="508"/>
      <c r="U33" s="508"/>
      <c r="V33" s="508"/>
      <c r="W33" s="508"/>
      <c r="X33" s="508"/>
      <c r="Y33" s="508"/>
      <c r="Z33" s="508"/>
      <c r="AA33" s="508"/>
      <c r="AB33" s="508"/>
      <c r="AC33" s="508"/>
      <c r="AD33" s="227"/>
      <c r="AE33" s="227" t="s">
        <v>338</v>
      </c>
      <c r="AF33" s="223"/>
      <c r="AG33" s="223"/>
      <c r="AH33" s="223"/>
      <c r="AI33" s="223"/>
      <c r="AJ33" s="223"/>
    </row>
    <row r="34" spans="1:36" ht="15.6">
      <c r="A34" s="250" t="s">
        <v>303</v>
      </c>
      <c r="B34" s="275">
        <f>B17/(B61+B74)</f>
        <v>3.2644900000000003</v>
      </c>
      <c r="C34" s="275">
        <f>C17/(C61+C74)</f>
        <v>3.7293931623931624</v>
      </c>
      <c r="D34" s="275">
        <f>D17/(D61+D74)</f>
        <v>4.4630000000000001</v>
      </c>
      <c r="E34" s="275">
        <f>E17/(E61+E74)</f>
        <v>7.0128150684931505</v>
      </c>
      <c r="F34" s="275">
        <f>F17/(F61+F74)</f>
        <v>8.4326818181818179</v>
      </c>
      <c r="G34" s="260">
        <f>F34*(1+G38)</f>
        <v>9.9755880655697968</v>
      </c>
      <c r="H34" s="260">
        <f t="shared" ref="H34" si="102">G34*(1+H38)</f>
        <v>11.606271959751227</v>
      </c>
      <c r="I34" s="260">
        <f t="shared" ref="I34" si="103">H34*(1+I38)</f>
        <v>13.277197280621367</v>
      </c>
      <c r="J34" s="260">
        <f t="shared" ref="J34" si="104">I34*(1+J38)</f>
        <v>14.929776103873186</v>
      </c>
      <c r="K34" s="260">
        <f t="shared" ref="K34" si="105">J34*(1+K38)</f>
        <v>16.496916557011712</v>
      </c>
      <c r="L34" s="260">
        <f t="shared" ref="L34" si="106">K34*(1+L38)</f>
        <v>17.906865866725322</v>
      </c>
      <c r="M34" s="260">
        <f t="shared" ref="M34" si="107">L34*(1+M38)</f>
        <v>19.088136057221735</v>
      </c>
      <c r="N34" s="260">
        <f t="shared" ref="N34" si="108">M34*(1+N38)</f>
        <v>19.97511297101051</v>
      </c>
      <c r="O34" s="260">
        <f t="shared" ref="O34" si="109">N34*(1+O38)</f>
        <v>20.513790732887259</v>
      </c>
      <c r="P34" s="260">
        <f t="shared" ref="P34" si="110">O34*(1+P38)</f>
        <v>20.66697633842827</v>
      </c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</row>
    <row r="35" spans="1:36" ht="15.6" hidden="1" outlineLevel="1">
      <c r="A35" s="281" t="s">
        <v>347</v>
      </c>
      <c r="B35" s="276">
        <f>B34*B$86</f>
        <v>0.7068927545873025</v>
      </c>
      <c r="C35" s="276">
        <f t="shared" ref="C35" si="111">C34*C$86</f>
        <v>0.91547692442441941</v>
      </c>
      <c r="D35" s="276">
        <f t="shared" ref="D35" si="112">D34*D$86</f>
        <v>1.0766654763604495</v>
      </c>
      <c r="E35" s="276">
        <f t="shared" ref="E35" si="113">E34*E$86</f>
        <v>1.6423415753233404</v>
      </c>
      <c r="F35" s="276">
        <f t="shared" ref="F35" si="114">F34*F$86</f>
        <v>2.0375659025969282</v>
      </c>
      <c r="G35" s="276">
        <f t="shared" ref="G35" si="115">G34*G$86</f>
        <v>2.6305115258264089</v>
      </c>
      <c r="H35" s="276">
        <f t="shared" ref="H35" si="116">H34*H$86</f>
        <v>3.2987678515653891</v>
      </c>
      <c r="I35" s="276">
        <f t="shared" ref="I35" si="117">I34*I$86</f>
        <v>4.0193195941611357</v>
      </c>
      <c r="J35" s="276">
        <f t="shared" ref="J35" si="118">J34*J$86</f>
        <v>4.7591683475488482</v>
      </c>
      <c r="K35" s="276">
        <f t="shared" ref="K35" si="119">K34*K$86</f>
        <v>5.4770064298043124</v>
      </c>
      <c r="L35" s="276">
        <f t="shared" ref="L35" si="120">L34*L$86</f>
        <v>6.1263082026146725</v>
      </c>
      <c r="M35" s="276">
        <f t="shared" ref="M35" si="121">M34*M$86</f>
        <v>6.6596175001906266</v>
      </c>
      <c r="N35" s="276">
        <f t="shared" ref="N35" si="122">N34*N$86</f>
        <v>7.033589017273373</v>
      </c>
      <c r="O35" s="276">
        <f t="shared" ref="O35" si="123">O34*O$86</f>
        <v>7.2141612612365611</v>
      </c>
      <c r="P35" s="276">
        <f t="shared" ref="P35" si="124">P34*P$86</f>
        <v>7.1811327449379156</v>
      </c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</row>
    <row r="36" spans="1:36" ht="15.6" hidden="1" outlineLevel="1">
      <c r="A36" s="281" t="s">
        <v>348</v>
      </c>
      <c r="B36" s="276">
        <f>B34*B$83</f>
        <v>2.261849459728448</v>
      </c>
      <c r="C36" s="276">
        <f t="shared" ref="C36:P36" si="125">C34*C$83</f>
        <v>2.4866698213957514</v>
      </c>
      <c r="D36" s="276">
        <f t="shared" si="125"/>
        <v>2.8943281784221426</v>
      </c>
      <c r="E36" s="276">
        <f t="shared" si="125"/>
        <v>4.481665151296478</v>
      </c>
      <c r="F36" s="276">
        <f t="shared" si="125"/>
        <v>5.3301990660876326</v>
      </c>
      <c r="G36" s="276">
        <f t="shared" si="125"/>
        <v>6.1153404561812152</v>
      </c>
      <c r="H36" s="276">
        <f t="shared" si="125"/>
        <v>6.9101414772828322</v>
      </c>
      <c r="I36" s="276">
        <f t="shared" si="125"/>
        <v>7.69456614047406</v>
      </c>
      <c r="J36" s="276">
        <f t="shared" si="125"/>
        <v>8.4477602344902039</v>
      </c>
      <c r="K36" s="276">
        <f t="shared" si="125"/>
        <v>9.1487468359408641</v>
      </c>
      <c r="L36" s="276">
        <f t="shared" si="125"/>
        <v>9.7770158538031051</v>
      </c>
      <c r="M36" s="276">
        <f t="shared" si="125"/>
        <v>10.313017507465803</v>
      </c>
      <c r="N36" s="276">
        <f t="shared" si="125"/>
        <v>10.738597574742755</v>
      </c>
      <c r="O36" s="276">
        <f t="shared" si="125"/>
        <v>11.03742993391373</v>
      </c>
      <c r="P36" s="276">
        <f t="shared" si="125"/>
        <v>11.1955088773248</v>
      </c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</row>
    <row r="37" spans="1:36" ht="15.6" hidden="1" outlineLevel="1">
      <c r="A37" s="281" t="s">
        <v>349</v>
      </c>
      <c r="B37" s="276">
        <f>B34*B$89</f>
        <v>0.29574778568424992</v>
      </c>
      <c r="C37" s="276">
        <f t="shared" ref="C37:P37" si="126">C34*C$89</f>
        <v>0.32724641657299114</v>
      </c>
      <c r="D37" s="276">
        <f t="shared" si="126"/>
        <v>0.46724405506528688</v>
      </c>
      <c r="E37" s="276">
        <f t="shared" si="126"/>
        <v>0.88880834187333291</v>
      </c>
      <c r="F37" s="276">
        <f t="shared" si="126"/>
        <v>1.0649168494972576</v>
      </c>
      <c r="G37" s="276">
        <f t="shared" si="126"/>
        <v>1.2297360835621727</v>
      </c>
      <c r="H37" s="276">
        <f t="shared" si="126"/>
        <v>1.3973626309030045</v>
      </c>
      <c r="I37" s="276">
        <f t="shared" si="126"/>
        <v>1.5633115459861717</v>
      </c>
      <c r="J37" s="276">
        <f t="shared" si="126"/>
        <v>1.7228475218341339</v>
      </c>
      <c r="K37" s="276">
        <f t="shared" si="126"/>
        <v>1.8711632912665348</v>
      </c>
      <c r="L37" s="276">
        <f t="shared" si="126"/>
        <v>2.0035418103075444</v>
      </c>
      <c r="M37" s="276">
        <f t="shared" si="126"/>
        <v>2.1155010495653075</v>
      </c>
      <c r="N37" s="276">
        <f t="shared" si="126"/>
        <v>2.2029263789943823</v>
      </c>
      <c r="O37" s="276">
        <f t="shared" si="126"/>
        <v>2.2621995377369677</v>
      </c>
      <c r="P37" s="276">
        <f t="shared" si="126"/>
        <v>2.2903347161655563</v>
      </c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</row>
    <row r="38" spans="1:36" ht="15.6" collapsed="1">
      <c r="A38" s="281" t="s">
        <v>346</v>
      </c>
      <c r="B38" s="242"/>
      <c r="C38" s="246">
        <f t="shared" ref="C38" si="127">C34/B34-1</f>
        <v>0.14241218762905139</v>
      </c>
      <c r="D38" s="246">
        <f t="shared" ref="D38" si="128">D34/C34-1</f>
        <v>0.19670943922042272</v>
      </c>
      <c r="E38" s="246">
        <f t="shared" ref="E38" si="129">E34/D34-1</f>
        <v>0.57132311639998878</v>
      </c>
      <c r="F38" s="246">
        <f t="shared" ref="F38" si="130">F34/E34-1</f>
        <v>0.20246744507320291</v>
      </c>
      <c r="G38" s="246">
        <f>F38+$S38</f>
        <v>0.18296744507320292</v>
      </c>
      <c r="H38" s="246">
        <f t="shared" si="72"/>
        <v>0.16346744507320293</v>
      </c>
      <c r="I38" s="246">
        <f t="shared" si="72"/>
        <v>0.14396744507320294</v>
      </c>
      <c r="J38" s="246">
        <f t="shared" si="72"/>
        <v>0.12446744507320294</v>
      </c>
      <c r="K38" s="246">
        <f t="shared" si="72"/>
        <v>0.10496744507320294</v>
      </c>
      <c r="L38" s="246">
        <f t="shared" si="72"/>
        <v>8.5467445073202933E-2</v>
      </c>
      <c r="M38" s="246">
        <f t="shared" si="72"/>
        <v>6.5967445073202929E-2</v>
      </c>
      <c r="N38" s="246">
        <f t="shared" si="72"/>
        <v>4.6467445073202926E-2</v>
      </c>
      <c r="O38" s="246">
        <f t="shared" si="72"/>
        <v>2.6967445073202926E-2</v>
      </c>
      <c r="P38" s="246">
        <f t="shared" si="72"/>
        <v>7.467445073202926E-3</v>
      </c>
      <c r="Q38" s="223"/>
      <c r="R38" s="227" t="s">
        <v>274</v>
      </c>
      <c r="S38" s="282">
        <v>-1.95E-2</v>
      </c>
      <c r="T38" s="508"/>
      <c r="U38" s="508"/>
      <c r="V38" s="508"/>
      <c r="W38" s="508"/>
      <c r="X38" s="508"/>
      <c r="Y38" s="508"/>
      <c r="Z38" s="508"/>
      <c r="AA38" s="508"/>
      <c r="AB38" s="508"/>
      <c r="AC38" s="508"/>
      <c r="AD38" s="227"/>
      <c r="AE38" s="227" t="s">
        <v>452</v>
      </c>
      <c r="AF38" s="223"/>
      <c r="AG38" s="223"/>
      <c r="AH38" s="223"/>
      <c r="AI38" s="223"/>
      <c r="AJ38" s="223"/>
    </row>
    <row r="39" spans="1:36" ht="15.6">
      <c r="A39" s="226"/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</row>
    <row r="40" spans="1:36" ht="15.6">
      <c r="A40" s="238" t="s">
        <v>275</v>
      </c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</row>
    <row r="41" spans="1:36" ht="15.6" hidden="1" outlineLevel="1">
      <c r="A41" s="235" t="s">
        <v>276</v>
      </c>
      <c r="B41" s="244">
        <v>315</v>
      </c>
      <c r="C41" s="242">
        <v>324</v>
      </c>
      <c r="D41" s="242">
        <v>350</v>
      </c>
      <c r="E41" s="242">
        <v>367</v>
      </c>
      <c r="F41" s="242">
        <v>374</v>
      </c>
      <c r="G41" s="242">
        <f>F41*(1+G$45)</f>
        <v>393.18415068493147</v>
      </c>
      <c r="H41" s="242">
        <f t="shared" ref="H41:P41" si="131">G41*(1+H$45)</f>
        <v>411.97619865396882</v>
      </c>
      <c r="I41" s="242">
        <f t="shared" si="131"/>
        <v>430.22448685051143</v>
      </c>
      <c r="J41" s="242">
        <f t="shared" si="131"/>
        <v>447.77528851956379</v>
      </c>
      <c r="K41" s="242">
        <f t="shared" si="131"/>
        <v>464.47485321811871</v>
      </c>
      <c r="L41" s="242">
        <f t="shared" si="131"/>
        <v>480.17155818920219</v>
      </c>
      <c r="M41" s="242">
        <f t="shared" si="131"/>
        <v>494.71812532530384</v>
      </c>
      <c r="N41" s="242">
        <f t="shared" si="131"/>
        <v>507.97386029977361</v>
      </c>
      <c r="O41" s="242">
        <f t="shared" si="131"/>
        <v>519.80686782634564</v>
      </c>
      <c r="P41" s="242">
        <f t="shared" si="131"/>
        <v>530.09619555249731</v>
      </c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</row>
    <row r="42" spans="1:36" ht="15.6" hidden="1" outlineLevel="1">
      <c r="A42" s="236" t="s">
        <v>277</v>
      </c>
      <c r="B42" s="242">
        <v>62</v>
      </c>
      <c r="C42" s="242">
        <v>63</v>
      </c>
      <c r="D42" s="242">
        <v>69</v>
      </c>
      <c r="E42" s="242">
        <v>71</v>
      </c>
      <c r="F42" s="242">
        <v>71</v>
      </c>
      <c r="G42" s="242">
        <f t="shared" ref="G42:P42" si="132">F42*(1+G$45)</f>
        <v>74.641910958904106</v>
      </c>
      <c r="H42" s="242">
        <f t="shared" si="132"/>
        <v>78.209385305967345</v>
      </c>
      <c r="I42" s="242">
        <f t="shared" si="132"/>
        <v>81.673632530444678</v>
      </c>
      <c r="J42" s="242">
        <f t="shared" si="132"/>
        <v>85.005469210933228</v>
      </c>
      <c r="K42" s="242">
        <f t="shared" si="132"/>
        <v>88.175707429108101</v>
      </c>
      <c r="L42" s="242">
        <f t="shared" si="132"/>
        <v>91.155563185650692</v>
      </c>
      <c r="M42" s="242">
        <f t="shared" si="132"/>
        <v>93.917077267637907</v>
      </c>
      <c r="N42" s="242">
        <f t="shared" si="132"/>
        <v>96.433540324288586</v>
      </c>
      <c r="O42" s="242">
        <f t="shared" si="132"/>
        <v>98.679913410883827</v>
      </c>
      <c r="P42" s="242">
        <f t="shared" si="132"/>
        <v>100.63323498456504</v>
      </c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</row>
    <row r="43" spans="1:36" ht="15.6" hidden="1" outlineLevel="1">
      <c r="A43" s="236" t="s">
        <v>278</v>
      </c>
      <c r="B43" s="242">
        <v>0</v>
      </c>
      <c r="C43" s="242">
        <v>0</v>
      </c>
      <c r="D43" s="242">
        <v>0</v>
      </c>
      <c r="E43" s="242">
        <v>0</v>
      </c>
      <c r="F43" s="242">
        <v>17</v>
      </c>
      <c r="G43" s="242">
        <f t="shared" ref="G43:P43" si="133">F43*(1+G$45)</f>
        <v>17.872006849315067</v>
      </c>
      <c r="H43" s="242">
        <f t="shared" si="133"/>
        <v>18.726190847907674</v>
      </c>
      <c r="I43" s="242">
        <f t="shared" si="133"/>
        <v>19.555658493205065</v>
      </c>
      <c r="J43" s="242">
        <f t="shared" si="133"/>
        <v>20.353422205434718</v>
      </c>
      <c r="K43" s="242">
        <f t="shared" si="133"/>
        <v>21.112493328096306</v>
      </c>
      <c r="L43" s="242">
        <f t="shared" si="133"/>
        <v>21.825979917691011</v>
      </c>
      <c r="M43" s="242">
        <f t="shared" si="133"/>
        <v>22.487187514786541</v>
      </c>
      <c r="N43" s="242">
        <f t="shared" si="133"/>
        <v>23.089720922716985</v>
      </c>
      <c r="O43" s="242">
        <f t="shared" si="133"/>
        <v>23.627584901197533</v>
      </c>
      <c r="P43" s="242">
        <f t="shared" si="133"/>
        <v>24.095281616022611</v>
      </c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</row>
    <row r="44" spans="1:36" ht="15.6" collapsed="1">
      <c r="A44" s="239" t="s">
        <v>279</v>
      </c>
      <c r="B44" s="245">
        <f>SUM(B41:B43)</f>
        <v>377</v>
      </c>
      <c r="C44" s="245">
        <f t="shared" ref="C44:F44" si="134">SUM(C41:C43)</f>
        <v>387</v>
      </c>
      <c r="D44" s="245">
        <f t="shared" si="134"/>
        <v>419</v>
      </c>
      <c r="E44" s="245">
        <f t="shared" si="134"/>
        <v>438</v>
      </c>
      <c r="F44" s="245">
        <f t="shared" si="134"/>
        <v>462</v>
      </c>
      <c r="G44" s="245">
        <f t="shared" ref="G44" si="135">SUM(G41:G43)</f>
        <v>485.69806849315069</v>
      </c>
      <c r="H44" s="245">
        <f t="shared" ref="H44" si="136">SUM(H41:H43)</f>
        <v>508.91177480784381</v>
      </c>
      <c r="I44" s="245">
        <f t="shared" ref="I44" si="137">SUM(I41:I43)</f>
        <v>531.45377787416123</v>
      </c>
      <c r="J44" s="245">
        <f t="shared" ref="J44" si="138">SUM(J41:J43)</f>
        <v>553.1341799359318</v>
      </c>
      <c r="K44" s="245">
        <f t="shared" ref="K44" si="139">SUM(K41:K43)</f>
        <v>573.76305397532315</v>
      </c>
      <c r="L44" s="245">
        <f t="shared" ref="L44" si="140">SUM(L41:L43)</f>
        <v>593.15310129254385</v>
      </c>
      <c r="M44" s="245">
        <f t="shared" ref="M44" si="141">SUM(M41:M43)</f>
        <v>611.12239010772828</v>
      </c>
      <c r="N44" s="245">
        <f t="shared" ref="N44" si="142">SUM(N41:N43)</f>
        <v>627.49712154677923</v>
      </c>
      <c r="O44" s="245">
        <f t="shared" ref="O44" si="143">SUM(O41:O43)</f>
        <v>642.11436613842704</v>
      </c>
      <c r="P44" s="245">
        <f t="shared" ref="P44" si="144">SUM(P41:P43)</f>
        <v>654.82471215308499</v>
      </c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</row>
    <row r="45" spans="1:36" ht="15.6">
      <c r="A45" s="250" t="s">
        <v>336</v>
      </c>
      <c r="B45" s="242"/>
      <c r="C45" s="246">
        <f t="shared" ref="C45" si="145">C44/B44-1</f>
        <v>2.6525198938992078E-2</v>
      </c>
      <c r="D45" s="246">
        <f t="shared" ref="D45" si="146">D44/C44-1</f>
        <v>8.2687338501292063E-2</v>
      </c>
      <c r="E45" s="246">
        <f t="shared" ref="E45" si="147">E44/D44-1</f>
        <v>4.5346062052505909E-2</v>
      </c>
      <c r="F45" s="246">
        <f t="shared" ref="F45" si="148">F44/E44-1</f>
        <v>5.4794520547945202E-2</v>
      </c>
      <c r="G45" s="246">
        <f>F45+$S45</f>
        <v>5.1294520547945199E-2</v>
      </c>
      <c r="H45" s="246">
        <f t="shared" ref="H45:P45" si="149">G45+$S45</f>
        <v>4.7794520547945196E-2</v>
      </c>
      <c r="I45" s="246">
        <f t="shared" si="149"/>
        <v>4.4294520547945193E-2</v>
      </c>
      <c r="J45" s="246">
        <f t="shared" si="149"/>
        <v>4.079452054794519E-2</v>
      </c>
      <c r="K45" s="246">
        <f t="shared" si="149"/>
        <v>3.7294520547945187E-2</v>
      </c>
      <c r="L45" s="246">
        <f t="shared" si="149"/>
        <v>3.3794520547945184E-2</v>
      </c>
      <c r="M45" s="246">
        <f t="shared" si="149"/>
        <v>3.0294520547945184E-2</v>
      </c>
      <c r="N45" s="246">
        <f t="shared" si="149"/>
        <v>2.6794520547945185E-2</v>
      </c>
      <c r="O45" s="246">
        <f t="shared" si="149"/>
        <v>2.3294520547945185E-2</v>
      </c>
      <c r="P45" s="246">
        <f t="shared" si="149"/>
        <v>1.9794520547945185E-2</v>
      </c>
      <c r="Q45" s="223"/>
      <c r="R45" s="227" t="s">
        <v>274</v>
      </c>
      <c r="S45" s="282">
        <v>-3.5000000000000001E-3</v>
      </c>
      <c r="T45" s="508"/>
      <c r="U45" s="508"/>
      <c r="V45" s="508"/>
      <c r="W45" s="508"/>
      <c r="X45" s="508"/>
      <c r="Y45" s="508"/>
      <c r="Z45" s="508"/>
      <c r="AA45" s="508"/>
      <c r="AB45" s="508"/>
      <c r="AC45" s="508"/>
      <c r="AD45" s="227"/>
      <c r="AE45" s="227" t="s">
        <v>339</v>
      </c>
      <c r="AF45" s="223"/>
      <c r="AG45" s="223"/>
      <c r="AH45" s="223"/>
      <c r="AI45" s="223"/>
      <c r="AJ45" s="223"/>
    </row>
    <row r="46" spans="1:36" ht="15.6">
      <c r="A46" s="223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</row>
    <row r="47" spans="1:36" ht="15.6">
      <c r="A47" s="223" t="s">
        <v>280</v>
      </c>
      <c r="B47" s="242">
        <v>44</v>
      </c>
      <c r="C47" s="242">
        <v>70</v>
      </c>
      <c r="D47" s="242">
        <v>99</v>
      </c>
      <c r="E47" s="242">
        <v>127</v>
      </c>
      <c r="F47" s="242">
        <v>151</v>
      </c>
      <c r="G47" s="242">
        <f t="shared" ref="G47:N47" si="150">F47*(1+G48)</f>
        <v>176.74193307086617</v>
      </c>
      <c r="H47" s="242">
        <f t="shared" si="150"/>
        <v>203.60253189134485</v>
      </c>
      <c r="I47" s="242">
        <f t="shared" si="150"/>
        <v>230.77866039021208</v>
      </c>
      <c r="J47" s="242">
        <f t="shared" si="150"/>
        <v>257.31275487066779</v>
      </c>
      <c r="K47" s="242">
        <f t="shared" si="150"/>
        <v>282.13735746163519</v>
      </c>
      <c r="L47" s="242">
        <f t="shared" si="150"/>
        <v>304.13740668165548</v>
      </c>
      <c r="M47" s="242">
        <f t="shared" si="150"/>
        <v>322.2263980310247</v>
      </c>
      <c r="N47" s="242">
        <f t="shared" si="150"/>
        <v>335.43006870309921</v>
      </c>
      <c r="O47" s="242">
        <f t="shared" ref="O47:P47" si="151">N47*(1+O48)</f>
        <v>342.96932170398901</v>
      </c>
      <c r="P47" s="242">
        <f t="shared" si="151"/>
        <v>344.33309735328442</v>
      </c>
      <c r="Q47" s="223"/>
      <c r="R47" s="26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61"/>
      <c r="AE47" s="261"/>
      <c r="AF47" s="223"/>
      <c r="AG47" s="223"/>
      <c r="AH47" s="223"/>
      <c r="AI47" s="223"/>
      <c r="AJ47" s="223"/>
    </row>
    <row r="48" spans="1:36" ht="15.6">
      <c r="A48" s="250" t="s">
        <v>336</v>
      </c>
      <c r="B48" s="242"/>
      <c r="C48" s="246">
        <f>C47/B47-1</f>
        <v>0.59090909090909083</v>
      </c>
      <c r="D48" s="246">
        <f>D47/C47-1</f>
        <v>0.41428571428571437</v>
      </c>
      <c r="E48" s="246">
        <f>E47/D47-1</f>
        <v>0.28282828282828287</v>
      </c>
      <c r="F48" s="246">
        <f>F47/E47-1</f>
        <v>0.18897637795275601</v>
      </c>
      <c r="G48" s="246">
        <f t="shared" ref="G48:O48" si="152">F48+$S$48</f>
        <v>0.17047637795275603</v>
      </c>
      <c r="H48" s="246">
        <f t="shared" si="152"/>
        <v>0.15197637795275604</v>
      </c>
      <c r="I48" s="246">
        <f t="shared" si="152"/>
        <v>0.13347637795275605</v>
      </c>
      <c r="J48" s="246">
        <f t="shared" si="152"/>
        <v>0.11497637795275605</v>
      </c>
      <c r="K48" s="246">
        <f t="shared" si="152"/>
        <v>9.6476377952756043E-2</v>
      </c>
      <c r="L48" s="246">
        <f t="shared" si="152"/>
        <v>7.797637795275604E-2</v>
      </c>
      <c r="M48" s="246">
        <f t="shared" si="152"/>
        <v>5.9476377952756038E-2</v>
      </c>
      <c r="N48" s="246">
        <f t="shared" si="152"/>
        <v>4.0976377952756035E-2</v>
      </c>
      <c r="O48" s="246">
        <f t="shared" si="152"/>
        <v>2.2476377952756036E-2</v>
      </c>
      <c r="P48" s="246">
        <f t="shared" ref="P48" si="153">O48+$S$48</f>
        <v>3.9763779527560369E-3</v>
      </c>
      <c r="Q48" s="223"/>
      <c r="R48" s="227" t="s">
        <v>274</v>
      </c>
      <c r="S48" s="282">
        <v>-1.8499999999999999E-2</v>
      </c>
      <c r="T48" s="508"/>
      <c r="U48" s="508"/>
      <c r="V48" s="508"/>
      <c r="W48" s="508"/>
      <c r="X48" s="508"/>
      <c r="Y48" s="508"/>
      <c r="Z48" s="508"/>
      <c r="AA48" s="508"/>
      <c r="AB48" s="508"/>
      <c r="AC48" s="508"/>
      <c r="AD48" s="227"/>
      <c r="AE48" s="227" t="s">
        <v>337</v>
      </c>
      <c r="AF48" s="223"/>
      <c r="AG48" s="223"/>
      <c r="AH48" s="223"/>
      <c r="AI48" s="223"/>
      <c r="AJ48" s="223"/>
    </row>
    <row r="49" spans="1:36" ht="15.6">
      <c r="A49" s="223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23"/>
      <c r="R49" s="223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</row>
    <row r="50" spans="1:36" ht="15.6" hidden="1" outlineLevel="1">
      <c r="A50" s="223" t="s">
        <v>281</v>
      </c>
      <c r="B50" s="242">
        <v>31</v>
      </c>
      <c r="C50" s="242">
        <v>31</v>
      </c>
      <c r="D50" s="242">
        <v>32</v>
      </c>
      <c r="E50" s="242">
        <v>33</v>
      </c>
      <c r="F50" s="242">
        <v>33</v>
      </c>
      <c r="G50" s="242">
        <f>F50+$S$50</f>
        <v>33.07</v>
      </c>
      <c r="H50" s="242">
        <f t="shared" ref="H50:P50" si="154">G50+$S$50</f>
        <v>33.14</v>
      </c>
      <c r="I50" s="242">
        <f t="shared" si="154"/>
        <v>33.21</v>
      </c>
      <c r="J50" s="242">
        <f t="shared" si="154"/>
        <v>33.28</v>
      </c>
      <c r="K50" s="242">
        <f t="shared" si="154"/>
        <v>33.35</v>
      </c>
      <c r="L50" s="242">
        <f t="shared" si="154"/>
        <v>33.42</v>
      </c>
      <c r="M50" s="242">
        <f t="shared" si="154"/>
        <v>33.49</v>
      </c>
      <c r="N50" s="242">
        <f t="shared" si="154"/>
        <v>33.56</v>
      </c>
      <c r="O50" s="242">
        <f t="shared" si="154"/>
        <v>33.630000000000003</v>
      </c>
      <c r="P50" s="242">
        <f t="shared" si="154"/>
        <v>33.700000000000003</v>
      </c>
      <c r="Q50" s="223"/>
      <c r="R50" s="227" t="s">
        <v>274</v>
      </c>
      <c r="S50" s="229">
        <v>7.0000000000000007E-2</v>
      </c>
      <c r="T50" s="509"/>
      <c r="U50" s="509"/>
      <c r="V50" s="509"/>
      <c r="W50" s="509"/>
      <c r="X50" s="509"/>
      <c r="Y50" s="509"/>
      <c r="Z50" s="509"/>
      <c r="AA50" s="509"/>
      <c r="AB50" s="509"/>
      <c r="AC50" s="509"/>
      <c r="AD50" s="223"/>
      <c r="AE50" s="227" t="s">
        <v>343</v>
      </c>
      <c r="AF50" s="223"/>
      <c r="AG50" s="223"/>
      <c r="AH50" s="223"/>
      <c r="AI50" s="223"/>
      <c r="AJ50" s="223"/>
    </row>
    <row r="51" spans="1:36" ht="15.6" hidden="1" outlineLevel="1">
      <c r="A51" s="223" t="s">
        <v>282</v>
      </c>
      <c r="B51" s="242">
        <v>7</v>
      </c>
      <c r="C51" s="242">
        <v>12</v>
      </c>
      <c r="D51" s="242">
        <v>16</v>
      </c>
      <c r="E51" s="242">
        <v>19</v>
      </c>
      <c r="F51" s="242">
        <v>20</v>
      </c>
      <c r="G51" s="242">
        <f t="shared" ref="G51:P51" si="155">F51+$S$50</f>
        <v>20.07</v>
      </c>
      <c r="H51" s="242">
        <f t="shared" si="155"/>
        <v>20.14</v>
      </c>
      <c r="I51" s="242">
        <f t="shared" si="155"/>
        <v>20.21</v>
      </c>
      <c r="J51" s="242">
        <f t="shared" si="155"/>
        <v>20.28</v>
      </c>
      <c r="K51" s="242">
        <f t="shared" si="155"/>
        <v>20.350000000000001</v>
      </c>
      <c r="L51" s="242">
        <f t="shared" si="155"/>
        <v>20.420000000000002</v>
      </c>
      <c r="M51" s="242">
        <f t="shared" si="155"/>
        <v>20.490000000000002</v>
      </c>
      <c r="N51" s="242">
        <f t="shared" si="155"/>
        <v>20.560000000000002</v>
      </c>
      <c r="O51" s="242">
        <f t="shared" si="155"/>
        <v>20.630000000000003</v>
      </c>
      <c r="P51" s="242">
        <f t="shared" si="155"/>
        <v>20.700000000000003</v>
      </c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</row>
    <row r="52" spans="1:36" ht="15.6" hidden="1" outlineLevel="1">
      <c r="A52" s="223" t="s">
        <v>283</v>
      </c>
      <c r="B52" s="242">
        <v>7</v>
      </c>
      <c r="C52" s="242">
        <v>9</v>
      </c>
      <c r="D52" s="242">
        <v>9</v>
      </c>
      <c r="E52" s="242">
        <v>9</v>
      </c>
      <c r="F52" s="242">
        <v>10</v>
      </c>
      <c r="G52" s="242">
        <f t="shared" ref="G52:P52" si="156">F52+$S$50</f>
        <v>10.07</v>
      </c>
      <c r="H52" s="242">
        <f t="shared" si="156"/>
        <v>10.14</v>
      </c>
      <c r="I52" s="242">
        <f t="shared" si="156"/>
        <v>10.210000000000001</v>
      </c>
      <c r="J52" s="242">
        <f t="shared" si="156"/>
        <v>10.280000000000001</v>
      </c>
      <c r="K52" s="242">
        <f t="shared" si="156"/>
        <v>10.350000000000001</v>
      </c>
      <c r="L52" s="242">
        <f t="shared" si="156"/>
        <v>10.420000000000002</v>
      </c>
      <c r="M52" s="242">
        <f t="shared" si="156"/>
        <v>10.490000000000002</v>
      </c>
      <c r="N52" s="242">
        <f t="shared" si="156"/>
        <v>10.560000000000002</v>
      </c>
      <c r="O52" s="242">
        <f t="shared" si="156"/>
        <v>10.630000000000003</v>
      </c>
      <c r="P52" s="242">
        <f t="shared" si="156"/>
        <v>10.700000000000003</v>
      </c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</row>
    <row r="53" spans="1:36" ht="15.6" hidden="1" outlineLevel="1">
      <c r="A53" s="223" t="s">
        <v>284</v>
      </c>
      <c r="B53" s="242">
        <v>6</v>
      </c>
      <c r="C53" s="242">
        <v>6</v>
      </c>
      <c r="D53" s="242">
        <v>7</v>
      </c>
      <c r="E53" s="242">
        <v>8</v>
      </c>
      <c r="F53" s="242">
        <v>10</v>
      </c>
      <c r="G53" s="242">
        <f t="shared" ref="G53:P53" si="157">F53+$S$50</f>
        <v>10.07</v>
      </c>
      <c r="H53" s="242">
        <f t="shared" si="157"/>
        <v>10.14</v>
      </c>
      <c r="I53" s="242">
        <f t="shared" si="157"/>
        <v>10.210000000000001</v>
      </c>
      <c r="J53" s="242">
        <f t="shared" si="157"/>
        <v>10.280000000000001</v>
      </c>
      <c r="K53" s="242">
        <f t="shared" si="157"/>
        <v>10.350000000000001</v>
      </c>
      <c r="L53" s="242">
        <f t="shared" si="157"/>
        <v>10.420000000000002</v>
      </c>
      <c r="M53" s="242">
        <f t="shared" si="157"/>
        <v>10.490000000000002</v>
      </c>
      <c r="N53" s="242">
        <f t="shared" si="157"/>
        <v>10.560000000000002</v>
      </c>
      <c r="O53" s="242">
        <f t="shared" si="157"/>
        <v>10.630000000000003</v>
      </c>
      <c r="P53" s="242">
        <f t="shared" si="157"/>
        <v>10.700000000000003</v>
      </c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</row>
    <row r="54" spans="1:36" ht="15.6" hidden="1" outlineLevel="1">
      <c r="A54" s="223" t="s">
        <v>285</v>
      </c>
      <c r="B54" s="242">
        <v>7</v>
      </c>
      <c r="C54" s="242">
        <v>7</v>
      </c>
      <c r="D54" s="242">
        <v>8</v>
      </c>
      <c r="E54" s="242">
        <v>8</v>
      </c>
      <c r="F54" s="242">
        <v>8</v>
      </c>
      <c r="G54" s="242">
        <f t="shared" ref="G54:P54" si="158">F54+$S$50</f>
        <v>8.07</v>
      </c>
      <c r="H54" s="242">
        <f t="shared" si="158"/>
        <v>8.14</v>
      </c>
      <c r="I54" s="242">
        <f t="shared" si="158"/>
        <v>8.2100000000000009</v>
      </c>
      <c r="J54" s="242">
        <f t="shared" si="158"/>
        <v>8.2800000000000011</v>
      </c>
      <c r="K54" s="242">
        <f t="shared" si="158"/>
        <v>8.3500000000000014</v>
      </c>
      <c r="L54" s="242">
        <f t="shared" si="158"/>
        <v>8.4200000000000017</v>
      </c>
      <c r="M54" s="242">
        <f t="shared" si="158"/>
        <v>8.490000000000002</v>
      </c>
      <c r="N54" s="242">
        <f t="shared" si="158"/>
        <v>8.5600000000000023</v>
      </c>
      <c r="O54" s="242">
        <f t="shared" si="158"/>
        <v>8.6300000000000026</v>
      </c>
      <c r="P54" s="242">
        <f t="shared" si="158"/>
        <v>8.7000000000000028</v>
      </c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</row>
    <row r="55" spans="1:36" ht="15.6" hidden="1" outlineLevel="1">
      <c r="A55" s="223" t="s">
        <v>286</v>
      </c>
      <c r="B55" s="242">
        <v>2</v>
      </c>
      <c r="C55" s="242">
        <v>5</v>
      </c>
      <c r="D55" s="242">
        <v>7</v>
      </c>
      <c r="E55" s="242">
        <v>8</v>
      </c>
      <c r="F55" s="242">
        <v>8</v>
      </c>
      <c r="G55" s="242">
        <f t="shared" ref="G55:P55" si="159">F55+$S$50</f>
        <v>8.07</v>
      </c>
      <c r="H55" s="242">
        <f t="shared" si="159"/>
        <v>8.14</v>
      </c>
      <c r="I55" s="242">
        <f t="shared" si="159"/>
        <v>8.2100000000000009</v>
      </c>
      <c r="J55" s="242">
        <f t="shared" si="159"/>
        <v>8.2800000000000011</v>
      </c>
      <c r="K55" s="242">
        <f t="shared" si="159"/>
        <v>8.3500000000000014</v>
      </c>
      <c r="L55" s="242">
        <f t="shared" si="159"/>
        <v>8.4200000000000017</v>
      </c>
      <c r="M55" s="242">
        <f t="shared" si="159"/>
        <v>8.490000000000002</v>
      </c>
      <c r="N55" s="242">
        <f t="shared" si="159"/>
        <v>8.5600000000000023</v>
      </c>
      <c r="O55" s="242">
        <f t="shared" si="159"/>
        <v>8.6300000000000026</v>
      </c>
      <c r="P55" s="242">
        <f t="shared" si="159"/>
        <v>8.7000000000000028</v>
      </c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</row>
    <row r="56" spans="1:36" ht="15.6" hidden="1" outlineLevel="1">
      <c r="A56" s="223" t="s">
        <v>287</v>
      </c>
      <c r="B56" s="242">
        <v>4</v>
      </c>
      <c r="C56" s="242">
        <v>6</v>
      </c>
      <c r="D56" s="242">
        <v>8</v>
      </c>
      <c r="E56" s="242">
        <v>7</v>
      </c>
      <c r="F56" s="242">
        <v>7</v>
      </c>
      <c r="G56" s="242">
        <f t="shared" ref="G56:P56" si="160">F56+$S$50</f>
        <v>7.07</v>
      </c>
      <c r="H56" s="242">
        <f t="shared" si="160"/>
        <v>7.1400000000000006</v>
      </c>
      <c r="I56" s="242">
        <f t="shared" si="160"/>
        <v>7.2100000000000009</v>
      </c>
      <c r="J56" s="242">
        <f t="shared" si="160"/>
        <v>7.2800000000000011</v>
      </c>
      <c r="K56" s="242">
        <f t="shared" si="160"/>
        <v>7.3500000000000014</v>
      </c>
      <c r="L56" s="242">
        <f t="shared" si="160"/>
        <v>7.4200000000000017</v>
      </c>
      <c r="M56" s="242">
        <f t="shared" si="160"/>
        <v>7.490000000000002</v>
      </c>
      <c r="N56" s="242">
        <f t="shared" si="160"/>
        <v>7.5600000000000023</v>
      </c>
      <c r="O56" s="242">
        <f t="shared" si="160"/>
        <v>7.6300000000000026</v>
      </c>
      <c r="P56" s="242">
        <f t="shared" si="160"/>
        <v>7.7000000000000028</v>
      </c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</row>
    <row r="57" spans="1:36" ht="15.6" hidden="1" outlineLevel="1">
      <c r="A57" s="223" t="s">
        <v>288</v>
      </c>
      <c r="B57" s="242">
        <v>2</v>
      </c>
      <c r="C57" s="242">
        <v>2</v>
      </c>
      <c r="D57" s="242">
        <v>2</v>
      </c>
      <c r="E57" s="242">
        <v>3</v>
      </c>
      <c r="F57" s="242">
        <v>5</v>
      </c>
      <c r="G57" s="242">
        <f t="shared" ref="G57:P57" si="161">F57+$S$50</f>
        <v>5.07</v>
      </c>
      <c r="H57" s="242">
        <f t="shared" si="161"/>
        <v>5.1400000000000006</v>
      </c>
      <c r="I57" s="242">
        <f t="shared" si="161"/>
        <v>5.2100000000000009</v>
      </c>
      <c r="J57" s="242">
        <f t="shared" si="161"/>
        <v>5.2800000000000011</v>
      </c>
      <c r="K57" s="242">
        <f t="shared" si="161"/>
        <v>5.3500000000000014</v>
      </c>
      <c r="L57" s="242">
        <f t="shared" si="161"/>
        <v>5.4200000000000017</v>
      </c>
      <c r="M57" s="242">
        <f t="shared" si="161"/>
        <v>5.490000000000002</v>
      </c>
      <c r="N57" s="242">
        <f t="shared" si="161"/>
        <v>5.5600000000000023</v>
      </c>
      <c r="O57" s="242">
        <f t="shared" si="161"/>
        <v>5.6300000000000026</v>
      </c>
      <c r="P57" s="242">
        <f t="shared" si="161"/>
        <v>5.7000000000000028</v>
      </c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</row>
    <row r="58" spans="1:36" ht="15.6" hidden="1" outlineLevel="1">
      <c r="A58" s="223" t="s">
        <v>289</v>
      </c>
      <c r="B58" s="242">
        <v>0</v>
      </c>
      <c r="C58" s="242">
        <v>0</v>
      </c>
      <c r="D58" s="242">
        <v>0</v>
      </c>
      <c r="E58" s="242">
        <v>1</v>
      </c>
      <c r="F58" s="242">
        <v>4</v>
      </c>
      <c r="G58" s="242">
        <f t="shared" ref="G58:P58" si="162">F58+$S$50</f>
        <v>4.07</v>
      </c>
      <c r="H58" s="242">
        <f t="shared" si="162"/>
        <v>4.1400000000000006</v>
      </c>
      <c r="I58" s="242">
        <f t="shared" si="162"/>
        <v>4.2100000000000009</v>
      </c>
      <c r="J58" s="242">
        <f t="shared" si="162"/>
        <v>4.2800000000000011</v>
      </c>
      <c r="K58" s="242">
        <f t="shared" si="162"/>
        <v>4.3500000000000014</v>
      </c>
      <c r="L58" s="242">
        <f t="shared" si="162"/>
        <v>4.4200000000000017</v>
      </c>
      <c r="M58" s="242">
        <f t="shared" si="162"/>
        <v>4.490000000000002</v>
      </c>
      <c r="N58" s="242">
        <f t="shared" si="162"/>
        <v>4.5600000000000023</v>
      </c>
      <c r="O58" s="242">
        <f t="shared" si="162"/>
        <v>4.6300000000000026</v>
      </c>
      <c r="P58" s="242">
        <f t="shared" si="162"/>
        <v>4.7000000000000028</v>
      </c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</row>
    <row r="59" spans="1:36" ht="15.6" hidden="1" outlineLevel="1">
      <c r="A59" s="223" t="s">
        <v>290</v>
      </c>
      <c r="B59" s="242">
        <v>2</v>
      </c>
      <c r="C59" s="242">
        <v>2</v>
      </c>
      <c r="D59" s="242">
        <v>2</v>
      </c>
      <c r="E59" s="242">
        <v>2</v>
      </c>
      <c r="F59" s="242">
        <v>2</v>
      </c>
      <c r="G59" s="242">
        <f t="shared" ref="G59:P59" si="163">F59+$S$50</f>
        <v>2.0699999999999998</v>
      </c>
      <c r="H59" s="242">
        <f t="shared" si="163"/>
        <v>2.1399999999999997</v>
      </c>
      <c r="I59" s="242">
        <f t="shared" si="163"/>
        <v>2.2099999999999995</v>
      </c>
      <c r="J59" s="242">
        <f t="shared" si="163"/>
        <v>2.2799999999999994</v>
      </c>
      <c r="K59" s="242">
        <f t="shared" si="163"/>
        <v>2.3499999999999992</v>
      </c>
      <c r="L59" s="242">
        <f t="shared" si="163"/>
        <v>2.419999999999999</v>
      </c>
      <c r="M59" s="242">
        <f t="shared" si="163"/>
        <v>2.4899999999999989</v>
      </c>
      <c r="N59" s="242">
        <f t="shared" si="163"/>
        <v>2.5599999999999987</v>
      </c>
      <c r="O59" s="242">
        <f t="shared" si="163"/>
        <v>2.6299999999999986</v>
      </c>
      <c r="P59" s="242">
        <f t="shared" si="163"/>
        <v>2.6999999999999984</v>
      </c>
      <c r="Q59" s="223"/>
      <c r="R59" s="261"/>
      <c r="S59" s="285"/>
      <c r="T59" s="285"/>
      <c r="U59" s="285"/>
      <c r="V59" s="285"/>
      <c r="W59" s="285"/>
      <c r="X59" s="285"/>
      <c r="Y59" s="285"/>
      <c r="Z59" s="285"/>
      <c r="AA59" s="285"/>
      <c r="AB59" s="285"/>
      <c r="AC59" s="285"/>
      <c r="AD59" s="262"/>
      <c r="AE59" s="262"/>
      <c r="AF59" s="223"/>
      <c r="AG59" s="223"/>
      <c r="AH59" s="223"/>
      <c r="AI59" s="223"/>
      <c r="AJ59" s="223"/>
    </row>
    <row r="60" spans="1:36" ht="15.6" hidden="1" outlineLevel="1">
      <c r="A60" s="223" t="s">
        <v>340</v>
      </c>
      <c r="B60" s="242">
        <v>0</v>
      </c>
      <c r="C60" s="242">
        <v>0</v>
      </c>
      <c r="D60" s="242">
        <v>0</v>
      </c>
      <c r="E60" s="242">
        <v>0</v>
      </c>
      <c r="F60" s="242">
        <v>0</v>
      </c>
      <c r="G60" s="249">
        <v>2</v>
      </c>
      <c r="H60" s="242">
        <f>G60+$S60</f>
        <v>5</v>
      </c>
      <c r="I60" s="242">
        <f t="shared" ref="I60:P60" si="164">H60+$S60</f>
        <v>8</v>
      </c>
      <c r="J60" s="242">
        <f t="shared" si="164"/>
        <v>11</v>
      </c>
      <c r="K60" s="242">
        <f t="shared" si="164"/>
        <v>14</v>
      </c>
      <c r="L60" s="242">
        <f t="shared" si="164"/>
        <v>17</v>
      </c>
      <c r="M60" s="242">
        <f t="shared" si="164"/>
        <v>20</v>
      </c>
      <c r="N60" s="242">
        <f t="shared" si="164"/>
        <v>23</v>
      </c>
      <c r="O60" s="242">
        <f t="shared" si="164"/>
        <v>26</v>
      </c>
      <c r="P60" s="242">
        <f t="shared" si="164"/>
        <v>29</v>
      </c>
      <c r="Q60" s="223"/>
      <c r="R60" s="227" t="s">
        <v>274</v>
      </c>
      <c r="S60" s="283">
        <v>3</v>
      </c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223"/>
      <c r="AE60" s="223" t="s">
        <v>344</v>
      </c>
      <c r="AF60" s="223"/>
      <c r="AG60" s="223"/>
      <c r="AH60" s="223"/>
      <c r="AI60" s="223"/>
      <c r="AJ60" s="223"/>
    </row>
    <row r="61" spans="1:36" ht="15.6" collapsed="1">
      <c r="A61" s="240" t="s">
        <v>301</v>
      </c>
      <c r="B61" s="245">
        <f>SUM(B50:B60)</f>
        <v>68</v>
      </c>
      <c r="C61" s="245">
        <f t="shared" ref="C61:D61" si="165">SUM(C50:C60)</f>
        <v>80</v>
      </c>
      <c r="D61" s="245">
        <f t="shared" si="165"/>
        <v>91</v>
      </c>
      <c r="E61" s="245">
        <f>SUM(E50:E60)</f>
        <v>98</v>
      </c>
      <c r="F61" s="245">
        <f>SUM(F50:F60)</f>
        <v>107</v>
      </c>
      <c r="G61" s="245">
        <f>SUM(G50:G60)</f>
        <v>109.69999999999996</v>
      </c>
      <c r="H61" s="245">
        <f t="shared" ref="H61:P61" si="166">SUM(H50:H60)</f>
        <v>113.4</v>
      </c>
      <c r="I61" s="245">
        <f t="shared" si="166"/>
        <v>117.10000000000004</v>
      </c>
      <c r="J61" s="245">
        <f t="shared" si="166"/>
        <v>120.80000000000001</v>
      </c>
      <c r="K61" s="245">
        <f t="shared" si="166"/>
        <v>124.49999999999997</v>
      </c>
      <c r="L61" s="245">
        <f t="shared" si="166"/>
        <v>128.20000000000002</v>
      </c>
      <c r="M61" s="245">
        <f t="shared" si="166"/>
        <v>131.90000000000003</v>
      </c>
      <c r="N61" s="245">
        <f t="shared" si="166"/>
        <v>135.60000000000002</v>
      </c>
      <c r="O61" s="245">
        <f t="shared" si="166"/>
        <v>139.29999999999998</v>
      </c>
      <c r="P61" s="245">
        <f t="shared" si="166"/>
        <v>143.00000000000003</v>
      </c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</row>
    <row r="62" spans="1:36" ht="15.6">
      <c r="A62" s="250" t="s">
        <v>336</v>
      </c>
      <c r="B62" s="242"/>
      <c r="C62" s="246">
        <f t="shared" ref="C62" si="167">C61/B61-1</f>
        <v>0.17647058823529416</v>
      </c>
      <c r="D62" s="246">
        <f t="shared" ref="D62" si="168">D61/C61-1</f>
        <v>0.13749999999999996</v>
      </c>
      <c r="E62" s="246">
        <f t="shared" ref="E62" si="169">E61/D61-1</f>
        <v>7.6923076923076872E-2</v>
      </c>
      <c r="F62" s="246">
        <f t="shared" ref="F62" si="170">F61/E61-1</f>
        <v>9.1836734693877542E-2</v>
      </c>
      <c r="G62" s="246">
        <f t="shared" ref="G62" si="171">G61/F61-1</f>
        <v>2.5233644859812721E-2</v>
      </c>
      <c r="H62" s="246">
        <f t="shared" ref="H62" si="172">H61/G61-1</f>
        <v>3.372835004557917E-2</v>
      </c>
      <c r="I62" s="246">
        <f t="shared" ref="I62" si="173">I61/H61-1</f>
        <v>3.2627865961199598E-2</v>
      </c>
      <c r="J62" s="246">
        <f t="shared" ref="J62" si="174">J61/I61-1</f>
        <v>3.159692570452588E-2</v>
      </c>
      <c r="K62" s="246">
        <f t="shared" ref="K62" si="175">K61/J61-1</f>
        <v>3.0629139072847256E-2</v>
      </c>
      <c r="L62" s="246">
        <f t="shared" ref="L62" si="176">L61/K61-1</f>
        <v>2.9718875502008357E-2</v>
      </c>
      <c r="M62" s="246">
        <f t="shared" ref="M62" si="177">M61/L61-1</f>
        <v>2.8861154446177872E-2</v>
      </c>
      <c r="N62" s="246">
        <f t="shared" ref="N62" si="178">N61/M61-1</f>
        <v>2.8051554207733087E-2</v>
      </c>
      <c r="O62" s="246">
        <f t="shared" ref="O62" si="179">O61/N61-1</f>
        <v>2.728613569321503E-2</v>
      </c>
      <c r="P62" s="246">
        <f t="shared" ref="P62" si="180">P61/O61-1</f>
        <v>2.6561378320172579E-2</v>
      </c>
      <c r="Q62" s="223"/>
      <c r="R62" s="261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62"/>
      <c r="AE62" s="262"/>
      <c r="AF62" s="262"/>
      <c r="AG62" s="223"/>
      <c r="AH62" s="223"/>
      <c r="AI62" s="223"/>
      <c r="AJ62" s="223"/>
    </row>
    <row r="63" spans="1:36" ht="15.6">
      <c r="A63" s="223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23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23"/>
      <c r="AH63" s="223"/>
      <c r="AI63" s="223"/>
      <c r="AJ63" s="223"/>
    </row>
    <row r="64" spans="1:36" ht="15.6" hidden="1" outlineLevel="1">
      <c r="A64" s="223" t="s">
        <v>291</v>
      </c>
      <c r="B64" s="242">
        <v>16</v>
      </c>
      <c r="C64" s="242">
        <v>17</v>
      </c>
      <c r="D64" s="242">
        <v>20</v>
      </c>
      <c r="E64" s="242">
        <v>20</v>
      </c>
      <c r="F64" s="242">
        <v>19</v>
      </c>
      <c r="G64" s="242">
        <f>F64+$S$64</f>
        <v>19.04</v>
      </c>
      <c r="H64" s="242">
        <f t="shared" ref="H64:P64" si="181">G64+$S$64</f>
        <v>19.079999999999998</v>
      </c>
      <c r="I64" s="242">
        <f t="shared" si="181"/>
        <v>19.119999999999997</v>
      </c>
      <c r="J64" s="242">
        <f t="shared" si="181"/>
        <v>19.159999999999997</v>
      </c>
      <c r="K64" s="242">
        <f t="shared" si="181"/>
        <v>19.199999999999996</v>
      </c>
      <c r="L64" s="242">
        <f t="shared" si="181"/>
        <v>19.239999999999995</v>
      </c>
      <c r="M64" s="242">
        <f t="shared" si="181"/>
        <v>19.279999999999994</v>
      </c>
      <c r="N64" s="242">
        <f t="shared" si="181"/>
        <v>19.319999999999993</v>
      </c>
      <c r="O64" s="242">
        <f t="shared" si="181"/>
        <v>19.359999999999992</v>
      </c>
      <c r="P64" s="242">
        <f t="shared" si="181"/>
        <v>19.399999999999991</v>
      </c>
      <c r="Q64" s="223"/>
      <c r="R64" s="227" t="s">
        <v>274</v>
      </c>
      <c r="S64" s="280">
        <v>0.04</v>
      </c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223"/>
      <c r="AE64" s="223" t="s">
        <v>341</v>
      </c>
      <c r="AF64" s="223"/>
      <c r="AG64" s="223"/>
      <c r="AH64" s="223"/>
      <c r="AI64" s="223"/>
      <c r="AJ64" s="223"/>
    </row>
    <row r="65" spans="1:36" ht="15.6" hidden="1" outlineLevel="1">
      <c r="A65" s="223" t="s">
        <v>292</v>
      </c>
      <c r="B65" s="242">
        <v>7</v>
      </c>
      <c r="C65" s="242">
        <v>9</v>
      </c>
      <c r="D65" s="242">
        <v>10</v>
      </c>
      <c r="E65" s="242">
        <v>9</v>
      </c>
      <c r="F65" s="242">
        <v>9</v>
      </c>
      <c r="G65" s="242">
        <f t="shared" ref="G65:P65" si="182">F65+$S$64</f>
        <v>9.0399999999999991</v>
      </c>
      <c r="H65" s="242">
        <f t="shared" si="182"/>
        <v>9.0799999999999983</v>
      </c>
      <c r="I65" s="242">
        <f t="shared" si="182"/>
        <v>9.1199999999999974</v>
      </c>
      <c r="J65" s="242">
        <f t="shared" si="182"/>
        <v>9.1599999999999966</v>
      </c>
      <c r="K65" s="242">
        <f t="shared" si="182"/>
        <v>9.1999999999999957</v>
      </c>
      <c r="L65" s="242">
        <f t="shared" si="182"/>
        <v>9.2399999999999949</v>
      </c>
      <c r="M65" s="242">
        <f t="shared" si="182"/>
        <v>9.279999999999994</v>
      </c>
      <c r="N65" s="242">
        <f t="shared" si="182"/>
        <v>9.3199999999999932</v>
      </c>
      <c r="O65" s="242">
        <f t="shared" si="182"/>
        <v>9.3599999999999923</v>
      </c>
      <c r="P65" s="242">
        <f t="shared" si="182"/>
        <v>9.3999999999999915</v>
      </c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</row>
    <row r="66" spans="1:36" ht="15.6" hidden="1" outlineLevel="1">
      <c r="A66" s="223" t="s">
        <v>293</v>
      </c>
      <c r="B66" s="242">
        <v>3</v>
      </c>
      <c r="C66" s="242">
        <v>3</v>
      </c>
      <c r="D66" s="242">
        <v>4</v>
      </c>
      <c r="E66" s="242">
        <v>6</v>
      </c>
      <c r="F66" s="242">
        <v>6</v>
      </c>
      <c r="G66" s="242">
        <f t="shared" ref="G66:P66" si="183">F66+$S$64</f>
        <v>6.04</v>
      </c>
      <c r="H66" s="242">
        <f t="shared" si="183"/>
        <v>6.08</v>
      </c>
      <c r="I66" s="242">
        <f t="shared" si="183"/>
        <v>6.12</v>
      </c>
      <c r="J66" s="242">
        <f t="shared" si="183"/>
        <v>6.16</v>
      </c>
      <c r="K66" s="242">
        <f t="shared" si="183"/>
        <v>6.2</v>
      </c>
      <c r="L66" s="242">
        <f t="shared" si="183"/>
        <v>6.24</v>
      </c>
      <c r="M66" s="242">
        <f t="shared" si="183"/>
        <v>6.28</v>
      </c>
      <c r="N66" s="242">
        <f t="shared" si="183"/>
        <v>6.32</v>
      </c>
      <c r="O66" s="242">
        <f t="shared" si="183"/>
        <v>6.36</v>
      </c>
      <c r="P66" s="242">
        <f t="shared" si="183"/>
        <v>6.4</v>
      </c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G66" s="223"/>
      <c r="AH66" s="223"/>
      <c r="AI66" s="223"/>
      <c r="AJ66" s="223"/>
    </row>
    <row r="67" spans="1:36" ht="15.6" hidden="1" outlineLevel="1">
      <c r="A67" s="223" t="s">
        <v>294</v>
      </c>
      <c r="B67" s="242">
        <v>1</v>
      </c>
      <c r="C67" s="242">
        <v>3</v>
      </c>
      <c r="D67" s="242">
        <v>4</v>
      </c>
      <c r="E67" s="242">
        <v>4</v>
      </c>
      <c r="F67" s="242">
        <v>4</v>
      </c>
      <c r="G67" s="242">
        <f t="shared" ref="G67:P67" si="184">F67+$S$64</f>
        <v>4.04</v>
      </c>
      <c r="H67" s="242">
        <f t="shared" si="184"/>
        <v>4.08</v>
      </c>
      <c r="I67" s="242">
        <f t="shared" si="184"/>
        <v>4.12</v>
      </c>
      <c r="J67" s="242">
        <f t="shared" si="184"/>
        <v>4.16</v>
      </c>
      <c r="K67" s="242">
        <f t="shared" si="184"/>
        <v>4.2</v>
      </c>
      <c r="L67" s="242">
        <f t="shared" si="184"/>
        <v>4.24</v>
      </c>
      <c r="M67" s="242">
        <f t="shared" si="184"/>
        <v>4.28</v>
      </c>
      <c r="N67" s="242">
        <f t="shared" si="184"/>
        <v>4.32</v>
      </c>
      <c r="O67" s="242">
        <f t="shared" si="184"/>
        <v>4.3600000000000003</v>
      </c>
      <c r="P67" s="242">
        <f t="shared" si="184"/>
        <v>4.4000000000000004</v>
      </c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</row>
    <row r="68" spans="1:36" ht="15.6" hidden="1" outlineLevel="1">
      <c r="A68" s="223" t="s">
        <v>295</v>
      </c>
      <c r="B68" s="242">
        <v>0</v>
      </c>
      <c r="C68" s="242">
        <v>0</v>
      </c>
      <c r="D68" s="242">
        <v>3</v>
      </c>
      <c r="E68" s="242">
        <v>3</v>
      </c>
      <c r="F68" s="242">
        <v>3</v>
      </c>
      <c r="G68" s="242">
        <f t="shared" ref="G68:P68" si="185">F68+$S$64</f>
        <v>3.04</v>
      </c>
      <c r="H68" s="242">
        <f t="shared" si="185"/>
        <v>3.08</v>
      </c>
      <c r="I68" s="242">
        <f t="shared" si="185"/>
        <v>3.12</v>
      </c>
      <c r="J68" s="242">
        <f t="shared" si="185"/>
        <v>3.16</v>
      </c>
      <c r="K68" s="242">
        <f t="shared" si="185"/>
        <v>3.2</v>
      </c>
      <c r="L68" s="242">
        <f t="shared" si="185"/>
        <v>3.24</v>
      </c>
      <c r="M68" s="242">
        <f t="shared" si="185"/>
        <v>3.2800000000000002</v>
      </c>
      <c r="N68" s="242">
        <f t="shared" si="185"/>
        <v>3.3200000000000003</v>
      </c>
      <c r="O68" s="242">
        <f t="shared" si="185"/>
        <v>3.3600000000000003</v>
      </c>
      <c r="P68" s="242">
        <f t="shared" si="185"/>
        <v>3.4000000000000004</v>
      </c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</row>
    <row r="69" spans="1:36" ht="15.6" hidden="1" outlineLevel="1">
      <c r="A69" s="223" t="s">
        <v>296</v>
      </c>
      <c r="B69" s="242">
        <v>1</v>
      </c>
      <c r="C69" s="242">
        <v>1</v>
      </c>
      <c r="D69" s="242">
        <v>1</v>
      </c>
      <c r="E69" s="242">
        <v>2</v>
      </c>
      <c r="F69" s="242">
        <v>2</v>
      </c>
      <c r="G69" s="242">
        <f t="shared" ref="G69:P69" si="186">F69+$S$64</f>
        <v>2.04</v>
      </c>
      <c r="H69" s="242">
        <f t="shared" si="186"/>
        <v>2.08</v>
      </c>
      <c r="I69" s="242">
        <f t="shared" si="186"/>
        <v>2.12</v>
      </c>
      <c r="J69" s="242">
        <f t="shared" si="186"/>
        <v>2.16</v>
      </c>
      <c r="K69" s="242">
        <f t="shared" si="186"/>
        <v>2.2000000000000002</v>
      </c>
      <c r="L69" s="242">
        <f t="shared" si="186"/>
        <v>2.2400000000000002</v>
      </c>
      <c r="M69" s="242">
        <f t="shared" si="186"/>
        <v>2.2800000000000002</v>
      </c>
      <c r="N69" s="242">
        <f t="shared" si="186"/>
        <v>2.3200000000000003</v>
      </c>
      <c r="O69" s="242">
        <f t="shared" si="186"/>
        <v>2.3600000000000003</v>
      </c>
      <c r="P69" s="242">
        <f t="shared" si="186"/>
        <v>2.4000000000000004</v>
      </c>
      <c r="Q69" s="223"/>
      <c r="R69" s="223"/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3"/>
      <c r="AG69" s="223"/>
      <c r="AH69" s="223"/>
      <c r="AI69" s="223"/>
      <c r="AJ69" s="223"/>
    </row>
    <row r="70" spans="1:36" ht="15.6" hidden="1" outlineLevel="1">
      <c r="A70" s="223" t="s">
        <v>297</v>
      </c>
      <c r="B70" s="242">
        <v>2</v>
      </c>
      <c r="C70" s="242">
        <v>2</v>
      </c>
      <c r="D70" s="242">
        <v>2</v>
      </c>
      <c r="E70" s="242">
        <v>2</v>
      </c>
      <c r="F70" s="242">
        <v>2</v>
      </c>
      <c r="G70" s="242">
        <f t="shared" ref="G70:P70" si="187">F70+$S$64</f>
        <v>2.04</v>
      </c>
      <c r="H70" s="242">
        <f t="shared" si="187"/>
        <v>2.08</v>
      </c>
      <c r="I70" s="242">
        <f t="shared" si="187"/>
        <v>2.12</v>
      </c>
      <c r="J70" s="242">
        <f t="shared" si="187"/>
        <v>2.16</v>
      </c>
      <c r="K70" s="242">
        <f t="shared" si="187"/>
        <v>2.2000000000000002</v>
      </c>
      <c r="L70" s="242">
        <f t="shared" si="187"/>
        <v>2.2400000000000002</v>
      </c>
      <c r="M70" s="242">
        <f t="shared" si="187"/>
        <v>2.2800000000000002</v>
      </c>
      <c r="N70" s="242">
        <f t="shared" si="187"/>
        <v>2.3200000000000003</v>
      </c>
      <c r="O70" s="242">
        <f t="shared" si="187"/>
        <v>2.3600000000000003</v>
      </c>
      <c r="P70" s="242">
        <f t="shared" si="187"/>
        <v>2.4000000000000004</v>
      </c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</row>
    <row r="71" spans="1:36" ht="15.6" hidden="1" outlineLevel="1">
      <c r="A71" s="223" t="s">
        <v>298</v>
      </c>
      <c r="B71" s="242">
        <v>1</v>
      </c>
      <c r="C71" s="242">
        <v>1</v>
      </c>
      <c r="D71" s="242">
        <v>1</v>
      </c>
      <c r="E71" s="242">
        <v>1</v>
      </c>
      <c r="F71" s="242">
        <v>1</v>
      </c>
      <c r="G71" s="242">
        <f t="shared" ref="G71:P71" si="188">F71+$S$64</f>
        <v>1.04</v>
      </c>
      <c r="H71" s="242">
        <f t="shared" si="188"/>
        <v>1.08</v>
      </c>
      <c r="I71" s="242">
        <f t="shared" si="188"/>
        <v>1.1200000000000001</v>
      </c>
      <c r="J71" s="242">
        <f t="shared" si="188"/>
        <v>1.1600000000000001</v>
      </c>
      <c r="K71" s="242">
        <f t="shared" si="188"/>
        <v>1.2000000000000002</v>
      </c>
      <c r="L71" s="242">
        <f t="shared" si="188"/>
        <v>1.2400000000000002</v>
      </c>
      <c r="M71" s="242">
        <f t="shared" si="188"/>
        <v>1.2800000000000002</v>
      </c>
      <c r="N71" s="242">
        <f t="shared" si="188"/>
        <v>1.3200000000000003</v>
      </c>
      <c r="O71" s="242">
        <f t="shared" si="188"/>
        <v>1.3600000000000003</v>
      </c>
      <c r="P71" s="242">
        <f t="shared" si="188"/>
        <v>1.4000000000000004</v>
      </c>
      <c r="Q71" s="223"/>
      <c r="R71" s="223"/>
      <c r="S71" s="223"/>
      <c r="T71" s="223"/>
      <c r="U71" s="223"/>
      <c r="V71" s="223"/>
      <c r="W71" s="223"/>
      <c r="X71" s="223"/>
      <c r="Y71" s="223"/>
      <c r="Z71" s="223"/>
      <c r="AA71" s="223"/>
      <c r="AB71" s="223"/>
      <c r="AC71" s="223"/>
      <c r="AD71" s="223"/>
      <c r="AE71" s="223"/>
      <c r="AF71" s="223"/>
      <c r="AG71" s="223"/>
      <c r="AH71" s="223"/>
      <c r="AI71" s="223"/>
      <c r="AJ71" s="223"/>
    </row>
    <row r="72" spans="1:36" ht="15.6" hidden="1" outlineLevel="1">
      <c r="A72" s="223" t="s">
        <v>299</v>
      </c>
      <c r="B72" s="242">
        <v>1</v>
      </c>
      <c r="C72" s="242">
        <v>1</v>
      </c>
      <c r="D72" s="242">
        <v>1</v>
      </c>
      <c r="E72" s="242">
        <v>1</v>
      </c>
      <c r="F72" s="242">
        <v>1</v>
      </c>
      <c r="G72" s="242">
        <f t="shared" ref="G72:P72" si="189">F72+$S$64</f>
        <v>1.04</v>
      </c>
      <c r="H72" s="242">
        <f t="shared" si="189"/>
        <v>1.08</v>
      </c>
      <c r="I72" s="242">
        <f t="shared" si="189"/>
        <v>1.1200000000000001</v>
      </c>
      <c r="J72" s="242">
        <f t="shared" si="189"/>
        <v>1.1600000000000001</v>
      </c>
      <c r="K72" s="242">
        <f t="shared" si="189"/>
        <v>1.2000000000000002</v>
      </c>
      <c r="L72" s="242">
        <f t="shared" si="189"/>
        <v>1.2400000000000002</v>
      </c>
      <c r="M72" s="242">
        <f t="shared" si="189"/>
        <v>1.2800000000000002</v>
      </c>
      <c r="N72" s="242">
        <f t="shared" si="189"/>
        <v>1.3200000000000003</v>
      </c>
      <c r="O72" s="242">
        <f t="shared" si="189"/>
        <v>1.3600000000000003</v>
      </c>
      <c r="P72" s="242">
        <f t="shared" si="189"/>
        <v>1.4000000000000004</v>
      </c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</row>
    <row r="73" spans="1:36" ht="15.6" hidden="1" outlineLevel="1">
      <c r="A73" s="223" t="s">
        <v>340</v>
      </c>
      <c r="B73" s="242">
        <v>0</v>
      </c>
      <c r="C73" s="242">
        <v>0</v>
      </c>
      <c r="D73" s="242">
        <v>0</v>
      </c>
      <c r="E73" s="242">
        <v>0</v>
      </c>
      <c r="F73" s="242">
        <v>0</v>
      </c>
      <c r="G73" s="249">
        <v>2</v>
      </c>
      <c r="H73" s="242">
        <f>G73+$S73</f>
        <v>4</v>
      </c>
      <c r="I73" s="242">
        <f t="shared" ref="I73:P73" si="190">H73+$S73</f>
        <v>6</v>
      </c>
      <c r="J73" s="242">
        <f t="shared" si="190"/>
        <v>8</v>
      </c>
      <c r="K73" s="242">
        <f t="shared" si="190"/>
        <v>10</v>
      </c>
      <c r="L73" s="242">
        <f t="shared" si="190"/>
        <v>12</v>
      </c>
      <c r="M73" s="242">
        <f t="shared" si="190"/>
        <v>14</v>
      </c>
      <c r="N73" s="242">
        <f t="shared" si="190"/>
        <v>16</v>
      </c>
      <c r="O73" s="242">
        <f t="shared" si="190"/>
        <v>18</v>
      </c>
      <c r="P73" s="242">
        <f t="shared" si="190"/>
        <v>20</v>
      </c>
      <c r="Q73" s="223"/>
      <c r="R73" s="227" t="s">
        <v>274</v>
      </c>
      <c r="S73" s="283">
        <v>2</v>
      </c>
      <c r="T73" s="510"/>
      <c r="U73" s="510"/>
      <c r="V73" s="510"/>
      <c r="W73" s="510"/>
      <c r="X73" s="510"/>
      <c r="Y73" s="510"/>
      <c r="Z73" s="510"/>
      <c r="AA73" s="510"/>
      <c r="AB73" s="510"/>
      <c r="AC73" s="510"/>
      <c r="AD73" s="223"/>
      <c r="AE73" s="223" t="s">
        <v>342</v>
      </c>
      <c r="AF73" s="223"/>
      <c r="AG73" s="223"/>
      <c r="AH73" s="223"/>
      <c r="AI73" s="223"/>
      <c r="AJ73" s="223"/>
    </row>
    <row r="74" spans="1:36" ht="15.6" collapsed="1">
      <c r="A74" s="240" t="s">
        <v>302</v>
      </c>
      <c r="B74" s="245">
        <f>SUM(B64:B73)</f>
        <v>32</v>
      </c>
      <c r="C74" s="245">
        <f t="shared" ref="C74:F74" si="191">SUM(C64:C73)</f>
        <v>37</v>
      </c>
      <c r="D74" s="245">
        <f t="shared" si="191"/>
        <v>46</v>
      </c>
      <c r="E74" s="245">
        <f t="shared" si="191"/>
        <v>48</v>
      </c>
      <c r="F74" s="245">
        <f t="shared" si="191"/>
        <v>47</v>
      </c>
      <c r="G74" s="245">
        <f t="shared" ref="G74" si="192">SUM(G64:G73)</f>
        <v>49.359999999999992</v>
      </c>
      <c r="H74" s="245">
        <f t="shared" ref="H74" si="193">SUM(H64:H73)</f>
        <v>51.719999999999985</v>
      </c>
      <c r="I74" s="245">
        <f t="shared" ref="I74" si="194">SUM(I64:I73)</f>
        <v>54.079999999999977</v>
      </c>
      <c r="J74" s="245">
        <f t="shared" ref="J74" si="195">SUM(J64:J73)</f>
        <v>56.439999999999969</v>
      </c>
      <c r="K74" s="245">
        <f t="shared" ref="K74" si="196">SUM(K64:K73)</f>
        <v>58.800000000000011</v>
      </c>
      <c r="L74" s="245">
        <f t="shared" ref="L74" si="197">SUM(L64:L73)</f>
        <v>61.160000000000004</v>
      </c>
      <c r="M74" s="245">
        <f t="shared" ref="M74" si="198">SUM(M64:M73)</f>
        <v>63.519999999999996</v>
      </c>
      <c r="N74" s="245">
        <f t="shared" ref="N74" si="199">SUM(N64:N73)</f>
        <v>65.88</v>
      </c>
      <c r="O74" s="245">
        <f t="shared" ref="O74" si="200">SUM(O64:O73)</f>
        <v>68.239999999999981</v>
      </c>
      <c r="P74" s="245">
        <f t="shared" ref="P74" si="201">SUM(P64:P73)</f>
        <v>70.599999999999966</v>
      </c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</row>
    <row r="75" spans="1:36" ht="15.6">
      <c r="A75" s="250" t="s">
        <v>336</v>
      </c>
      <c r="B75" s="242"/>
      <c r="C75" s="246">
        <f t="shared" ref="C75" si="202">C74/B74-1</f>
        <v>0.15625</v>
      </c>
      <c r="D75" s="246">
        <f t="shared" ref="D75" si="203">D74/C74-1</f>
        <v>0.2432432432432432</v>
      </c>
      <c r="E75" s="246">
        <f t="shared" ref="E75" si="204">E74/D74-1</f>
        <v>4.3478260869565188E-2</v>
      </c>
      <c r="F75" s="246">
        <f t="shared" ref="F75" si="205">F74/E74-1</f>
        <v>-2.083333333333337E-2</v>
      </c>
      <c r="G75" s="246">
        <f t="shared" ref="G75" si="206">G74/F74-1</f>
        <v>5.0212765957446726E-2</v>
      </c>
      <c r="H75" s="246">
        <f t="shared" ref="H75" si="207">H74/G74-1</f>
        <v>4.7811993517017592E-2</v>
      </c>
      <c r="I75" s="246">
        <f t="shared" ref="I75" si="208">I74/H74-1</f>
        <v>4.5630317092033801E-2</v>
      </c>
      <c r="J75" s="246">
        <f t="shared" ref="J75" si="209">J74/I74-1</f>
        <v>4.3639053254437732E-2</v>
      </c>
      <c r="K75" s="246">
        <f t="shared" ref="K75" si="210">K74/J74-1</f>
        <v>4.1814316087881664E-2</v>
      </c>
      <c r="L75" s="246">
        <f t="shared" ref="L75" si="211">L74/K74-1</f>
        <v>4.0136054421768597E-2</v>
      </c>
      <c r="M75" s="246">
        <f t="shared" ref="M75" si="212">M74/L74-1</f>
        <v>3.8587311968606874E-2</v>
      </c>
      <c r="N75" s="246">
        <f t="shared" ref="N75" si="213">N74/M74-1</f>
        <v>3.715365239294699E-2</v>
      </c>
      <c r="O75" s="246">
        <f t="shared" ref="O75" si="214">O74/N74-1</f>
        <v>3.5822707953855337E-2</v>
      </c>
      <c r="P75" s="246">
        <f t="shared" ref="P75" si="215">P74/O74-1</f>
        <v>3.4583821805392434E-2</v>
      </c>
      <c r="Q75" s="223"/>
      <c r="R75" s="261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  <c r="AD75" s="223"/>
      <c r="AE75" s="223"/>
      <c r="AF75" s="223"/>
      <c r="AG75" s="223"/>
      <c r="AH75" s="223"/>
      <c r="AI75" s="223"/>
      <c r="AJ75" s="223"/>
    </row>
    <row r="76" spans="1:36" ht="15.6">
      <c r="A76" s="223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</row>
    <row r="77" spans="1:36" ht="15.6">
      <c r="A77" s="223" t="s">
        <v>300</v>
      </c>
      <c r="B77" s="247">
        <f>SUM(B74,B61,B44,B47)</f>
        <v>521</v>
      </c>
      <c r="C77" s="247">
        <f t="shared" ref="C77:P77" si="216">SUM(C74,C61,C44,C47)</f>
        <v>574</v>
      </c>
      <c r="D77" s="247">
        <f t="shared" si="216"/>
        <v>655</v>
      </c>
      <c r="E77" s="247">
        <f t="shared" si="216"/>
        <v>711</v>
      </c>
      <c r="F77" s="247">
        <f t="shared" si="216"/>
        <v>767</v>
      </c>
      <c r="G77" s="247">
        <f t="shared" si="216"/>
        <v>821.50000156401677</v>
      </c>
      <c r="H77" s="247">
        <f t="shared" si="216"/>
        <v>877.63430669918864</v>
      </c>
      <c r="I77" s="247">
        <f t="shared" si="216"/>
        <v>933.41243826437335</v>
      </c>
      <c r="J77" s="247">
        <f t="shared" si="216"/>
        <v>987.68693480659954</v>
      </c>
      <c r="K77" s="247">
        <f t="shared" si="216"/>
        <v>1039.2004114369583</v>
      </c>
      <c r="L77" s="247">
        <f t="shared" si="216"/>
        <v>1086.6505079741994</v>
      </c>
      <c r="M77" s="247">
        <f t="shared" si="216"/>
        <v>1128.7687881387531</v>
      </c>
      <c r="N77" s="247">
        <f t="shared" si="216"/>
        <v>1164.4071902498786</v>
      </c>
      <c r="O77" s="247">
        <f t="shared" si="216"/>
        <v>1192.6236878424161</v>
      </c>
      <c r="P77" s="247">
        <f t="shared" si="216"/>
        <v>1212.7578095063695</v>
      </c>
      <c r="Q77" s="223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</row>
    <row r="78" spans="1:36" ht="15.6">
      <c r="A78" s="250" t="s">
        <v>336</v>
      </c>
      <c r="B78" s="242"/>
      <c r="C78" s="251">
        <f>C77/B77-1</f>
        <v>0.10172744721689053</v>
      </c>
      <c r="D78" s="251">
        <f t="shared" ref="D78" si="217">D77/C77-1</f>
        <v>0.14111498257839727</v>
      </c>
      <c r="E78" s="251">
        <f t="shared" ref="E78" si="218">E77/D77-1</f>
        <v>8.5496183206106968E-2</v>
      </c>
      <c r="F78" s="251">
        <f t="shared" ref="F78" si="219">F77/E77-1</f>
        <v>7.8762306610407951E-2</v>
      </c>
      <c r="G78" s="251">
        <f t="shared" ref="G78" si="220">G77/F77-1</f>
        <v>7.1056064620621529E-2</v>
      </c>
      <c r="H78" s="251">
        <f t="shared" ref="H78" si="221">H77/G77-1</f>
        <v>6.8331472949848315E-2</v>
      </c>
      <c r="I78" s="251">
        <f t="shared" ref="I78" si="222">I77/H77-1</f>
        <v>6.3555094803629641E-2</v>
      </c>
      <c r="J78" s="251">
        <f t="shared" ref="J78" si="223">J77/I77-1</f>
        <v>5.8146318087582527E-2</v>
      </c>
      <c r="K78" s="251">
        <f t="shared" ref="K78" si="224">K77/J77-1</f>
        <v>5.2155672830121791E-2</v>
      </c>
      <c r="L78" s="251">
        <f t="shared" ref="L78" si="225">L77/K77-1</f>
        <v>4.5660197989749962E-2</v>
      </c>
      <c r="M78" s="251">
        <f t="shared" ref="M78" si="226">M77/L77-1</f>
        <v>3.8759729881388649E-2</v>
      </c>
      <c r="N78" s="251">
        <f t="shared" ref="N78" si="227">N77/M77-1</f>
        <v>3.1572809671580604E-2</v>
      </c>
      <c r="O78" s="251">
        <f t="shared" ref="O78" si="228">O77/N77-1</f>
        <v>2.4232500304710802E-2</v>
      </c>
      <c r="P78" s="251">
        <f t="shared" ref="P78" si="229">P77/O77-1</f>
        <v>1.6882208419302991E-2</v>
      </c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</row>
    <row r="79" spans="1:36" ht="15.6">
      <c r="A79" s="223"/>
      <c r="B79" s="241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23"/>
      <c r="R79" s="223"/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3"/>
      <c r="AE79" s="223"/>
      <c r="AF79" s="223"/>
      <c r="AG79" s="223"/>
      <c r="AH79" s="223"/>
      <c r="AI79" s="223"/>
      <c r="AJ79" s="223"/>
    </row>
    <row r="80" spans="1:36" ht="15.6">
      <c r="A80" s="226" t="s">
        <v>332</v>
      </c>
      <c r="B80" s="241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</row>
    <row r="81" spans="1:36" ht="15.6">
      <c r="A81" s="223" t="s">
        <v>333</v>
      </c>
      <c r="B81" s="249">
        <v>3049.9059999999999</v>
      </c>
      <c r="C81" s="249">
        <v>4171.7619999999997</v>
      </c>
      <c r="D81" s="249">
        <v>5259.8029999999999</v>
      </c>
      <c r="E81" s="249">
        <v>6147.3720000000003</v>
      </c>
      <c r="F81" s="249">
        <v>6692.63</v>
      </c>
      <c r="G81" s="242">
        <f>F81*(1+G82)</f>
        <v>7256.1343170207329</v>
      </c>
      <c r="H81" s="242">
        <f t="shared" ref="H81:P81" si="230">G81*(1+H82)</f>
        <v>7834.431819282162</v>
      </c>
      <c r="I81" s="242">
        <f t="shared" si="230"/>
        <v>8423.5633820205694</v>
      </c>
      <c r="J81" s="242">
        <f t="shared" si="230"/>
        <v>9019.0902713004616</v>
      </c>
      <c r="K81" s="242">
        <f t="shared" si="230"/>
        <v>9616.1336592173284</v>
      </c>
      <c r="L81" s="242">
        <f t="shared" si="230"/>
        <v>10209.42736830544</v>
      </c>
      <c r="M81" s="242">
        <f t="shared" si="230"/>
        <v>10793.383534920849</v>
      </c>
      <c r="N81" s="242">
        <f t="shared" si="230"/>
        <v>11362.170448301373</v>
      </c>
      <c r="O81" s="242">
        <f t="shared" si="230"/>
        <v>11909.801379232302</v>
      </c>
      <c r="P81" s="242">
        <f t="shared" si="230"/>
        <v>12430.232776884179</v>
      </c>
      <c r="Q81" s="223"/>
      <c r="R81" s="223"/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3"/>
      <c r="AF81" s="223"/>
      <c r="AG81" s="223"/>
      <c r="AH81" s="223"/>
      <c r="AI81" s="223"/>
      <c r="AJ81" s="223"/>
    </row>
    <row r="82" spans="1:36" ht="15.6">
      <c r="A82" s="236" t="s">
        <v>272</v>
      </c>
      <c r="B82" s="241"/>
      <c r="C82" s="251">
        <f>C81/B81-1</f>
        <v>0.36783297583597641</v>
      </c>
      <c r="D82" s="251">
        <f t="shared" ref="D82:F82" si="231">D81/C81-1</f>
        <v>0.26081089956713743</v>
      </c>
      <c r="E82" s="251">
        <f t="shared" si="231"/>
        <v>0.16874567355469394</v>
      </c>
      <c r="F82" s="251">
        <f t="shared" si="231"/>
        <v>8.8697739456795377E-2</v>
      </c>
      <c r="G82" s="246">
        <f>F82+$S82</f>
        <v>8.4197739456795373E-2</v>
      </c>
      <c r="H82" s="246">
        <f t="shared" ref="H82:P82" si="232">G82+$S82</f>
        <v>7.9697739456795369E-2</v>
      </c>
      <c r="I82" s="246">
        <f t="shared" si="232"/>
        <v>7.5197739456795365E-2</v>
      </c>
      <c r="J82" s="246">
        <f t="shared" si="232"/>
        <v>7.0697739456795361E-2</v>
      </c>
      <c r="K82" s="246">
        <f t="shared" si="232"/>
        <v>6.6197739456795357E-2</v>
      </c>
      <c r="L82" s="246">
        <f t="shared" si="232"/>
        <v>6.169773945679536E-2</v>
      </c>
      <c r="M82" s="246">
        <f t="shared" si="232"/>
        <v>5.7197739456795363E-2</v>
      </c>
      <c r="N82" s="246">
        <f t="shared" si="232"/>
        <v>5.2697739456795366E-2</v>
      </c>
      <c r="O82" s="246">
        <f t="shared" si="232"/>
        <v>4.8197739456795369E-2</v>
      </c>
      <c r="P82" s="246">
        <f t="shared" si="232"/>
        <v>4.3697739456795372E-2</v>
      </c>
      <c r="Q82" s="223"/>
      <c r="R82" s="227" t="s">
        <v>274</v>
      </c>
      <c r="S82" s="282">
        <v>-4.4999999999999997E-3</v>
      </c>
      <c r="T82" s="508"/>
      <c r="U82" s="508"/>
      <c r="V82" s="508"/>
      <c r="W82" s="508"/>
      <c r="X82" s="508"/>
      <c r="Y82" s="508"/>
      <c r="Z82" s="508"/>
      <c r="AA82" s="508"/>
      <c r="AB82" s="508"/>
      <c r="AC82" s="508"/>
      <c r="AD82" s="223"/>
      <c r="AE82" s="227" t="s">
        <v>456</v>
      </c>
      <c r="AF82" s="223"/>
      <c r="AG82" s="223"/>
      <c r="AH82" s="223"/>
      <c r="AI82" s="223"/>
      <c r="AJ82" s="223"/>
    </row>
    <row r="83" spans="1:36" ht="15.6">
      <c r="A83" s="236" t="s">
        <v>304</v>
      </c>
      <c r="B83" s="246">
        <f>B81/B$90</f>
        <v>0.69286456988027156</v>
      </c>
      <c r="C83" s="246">
        <f t="shared" ref="C83:P83" si="233">C81/C$90</f>
        <v>0.66677599092289008</v>
      </c>
      <c r="D83" s="246">
        <f t="shared" si="233"/>
        <v>0.64851628465654099</v>
      </c>
      <c r="E83" s="246">
        <f t="shared" si="233"/>
        <v>0.63906792172967664</v>
      </c>
      <c r="F83" s="246">
        <f t="shared" si="233"/>
        <v>0.63208824677756947</v>
      </c>
      <c r="G83" s="246">
        <f t="shared" si="233"/>
        <v>0.61303057183044496</v>
      </c>
      <c r="H83" s="246">
        <f t="shared" si="233"/>
        <v>0.59537993778244591</v>
      </c>
      <c r="I83" s="246">
        <f t="shared" si="233"/>
        <v>0.57953241018001633</v>
      </c>
      <c r="J83" s="246">
        <f t="shared" si="233"/>
        <v>0.56583301556000076</v>
      </c>
      <c r="K83" s="246">
        <f t="shared" si="233"/>
        <v>0.55457314124877211</v>
      </c>
      <c r="L83" s="246">
        <f t="shared" si="233"/>
        <v>0.54599257773918064</v>
      </c>
      <c r="M83" s="246">
        <f t="shared" si="233"/>
        <v>0.54028415747613101</v>
      </c>
      <c r="N83" s="246">
        <f t="shared" si="233"/>
        <v>0.5375988406337161</v>
      </c>
      <c r="O83" s="246">
        <f t="shared" si="233"/>
        <v>0.53804926050155932</v>
      </c>
      <c r="P83" s="246">
        <f t="shared" si="233"/>
        <v>0.54171005443635312</v>
      </c>
      <c r="Q83" s="22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7"/>
      <c r="AF83" s="223"/>
      <c r="AG83" s="223"/>
      <c r="AH83" s="223"/>
      <c r="AI83" s="223"/>
      <c r="AJ83" s="223"/>
    </row>
    <row r="84" spans="1:36" ht="15.6">
      <c r="A84" s="223" t="s">
        <v>334</v>
      </c>
      <c r="B84" s="249">
        <v>953.18299999999999</v>
      </c>
      <c r="C84" s="249">
        <v>1535.85</v>
      </c>
      <c r="D84" s="249">
        <v>1956.6020000000001</v>
      </c>
      <c r="E84" s="249">
        <v>2252.7530000000002</v>
      </c>
      <c r="F84" s="249">
        <v>2558.38</v>
      </c>
      <c r="G84" s="242">
        <f>F84*(1+G85)</f>
        <v>3121.2236000000003</v>
      </c>
      <c r="H84" s="242">
        <f t="shared" ref="H84" si="234">G84*(1+H85)</f>
        <v>3740.0061787000004</v>
      </c>
      <c r="I84" s="242">
        <f t="shared" ref="I84" si="235">H84*(1+I85)</f>
        <v>4400.1172692405507</v>
      </c>
      <c r="J84" s="242">
        <f t="shared" ref="J84" si="236">I84*(1+J85)</f>
        <v>5081.0354166555253</v>
      </c>
      <c r="K84" s="242">
        <f t="shared" ref="K84" si="237">J84*(1+K85)</f>
        <v>5756.8131270707099</v>
      </c>
      <c r="L84" s="242">
        <f t="shared" ref="L84" si="238">K84*(1+L85)</f>
        <v>6397.2585874573269</v>
      </c>
      <c r="M84" s="242">
        <f t="shared" ref="M84" si="239">L84*(1+M85)</f>
        <v>6969.8132310347582</v>
      </c>
      <c r="N84" s="242">
        <f t="shared" ref="N84" si="240">M84*(1+N85)</f>
        <v>7442.018077437363</v>
      </c>
      <c r="O84" s="242">
        <f t="shared" ref="O84" si="241">N84*(1+O85)</f>
        <v>7784.3509089994823</v>
      </c>
      <c r="P84" s="242">
        <f t="shared" ref="P84" si="242">O84*(1+P85)</f>
        <v>7973.1214185427207</v>
      </c>
      <c r="Q84" s="223"/>
      <c r="R84" s="223"/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  <c r="AE84" s="227"/>
      <c r="AF84" s="223"/>
      <c r="AG84" s="223"/>
      <c r="AH84" s="223"/>
      <c r="AI84" s="223"/>
      <c r="AJ84" s="223"/>
    </row>
    <row r="85" spans="1:36" ht="15.6">
      <c r="A85" s="236" t="s">
        <v>272</v>
      </c>
      <c r="B85" s="242"/>
      <c r="C85" s="251">
        <f>C84/B84-1</f>
        <v>0.61128555586912481</v>
      </c>
      <c r="D85" s="251">
        <f t="shared" ref="D85" si="243">D84/C84-1</f>
        <v>0.27395383663769257</v>
      </c>
      <c r="E85" s="251">
        <f t="shared" ref="E85" si="244">E84/D84-1</f>
        <v>0.15135985754895476</v>
      </c>
      <c r="F85" s="251">
        <f t="shared" ref="F85" si="245">F84/E84-1</f>
        <v>0.13566822461228556</v>
      </c>
      <c r="G85" s="274">
        <v>0.22</v>
      </c>
      <c r="H85" s="246">
        <f t="shared" ref="H85:P85" si="246">G85+$S85</f>
        <v>0.19825000000000001</v>
      </c>
      <c r="I85" s="246">
        <f t="shared" si="246"/>
        <v>0.17650000000000002</v>
      </c>
      <c r="J85" s="246">
        <f t="shared" si="246"/>
        <v>0.15475000000000003</v>
      </c>
      <c r="K85" s="246">
        <f t="shared" si="246"/>
        <v>0.13300000000000003</v>
      </c>
      <c r="L85" s="246">
        <f t="shared" si="246"/>
        <v>0.11125000000000004</v>
      </c>
      <c r="M85" s="246">
        <f t="shared" si="246"/>
        <v>8.9500000000000052E-2</v>
      </c>
      <c r="N85" s="246">
        <f t="shared" si="246"/>
        <v>6.775000000000006E-2</v>
      </c>
      <c r="O85" s="246">
        <f t="shared" si="246"/>
        <v>4.6000000000000062E-2</v>
      </c>
      <c r="P85" s="246">
        <f t="shared" si="246"/>
        <v>2.4250000000000063E-2</v>
      </c>
      <c r="Q85" s="223"/>
      <c r="R85" s="227" t="s">
        <v>274</v>
      </c>
      <c r="S85" s="282">
        <v>-2.1749999999999999E-2</v>
      </c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223"/>
      <c r="AE85" s="227" t="s">
        <v>457</v>
      </c>
      <c r="AF85" s="223"/>
      <c r="AG85" s="223"/>
      <c r="AH85" s="223"/>
      <c r="AI85" s="223"/>
      <c r="AJ85" s="223"/>
    </row>
    <row r="86" spans="1:36" ht="15.6">
      <c r="A86" s="236" t="s">
        <v>304</v>
      </c>
      <c r="B86" s="246">
        <f>B84/B$90</f>
        <v>0.216540027565501</v>
      </c>
      <c r="C86" s="246">
        <f>C84/C$90</f>
        <v>0.24547610953331486</v>
      </c>
      <c r="D86" s="246">
        <f>D84/D$90</f>
        <v>0.24124254455757327</v>
      </c>
      <c r="E86" s="246">
        <f>E84/E$90</f>
        <v>0.23419148505740245</v>
      </c>
      <c r="F86" s="246">
        <f>F84/F$90</f>
        <v>0.24162727190817337</v>
      </c>
      <c r="G86" s="246">
        <f t="shared" ref="C86:P86" si="247">G84/G$90</f>
        <v>0.26369488280149389</v>
      </c>
      <c r="H86" s="246">
        <f t="shared" si="247"/>
        <v>0.28422286355213894</v>
      </c>
      <c r="I86" s="246">
        <f t="shared" si="247"/>
        <v>0.30272349722689618</v>
      </c>
      <c r="J86" s="246">
        <f t="shared" si="247"/>
        <v>0.31877024239594537</v>
      </c>
      <c r="K86" s="246">
        <f t="shared" si="247"/>
        <v>0.33200182657627686</v>
      </c>
      <c r="L86" s="246">
        <f t="shared" si="247"/>
        <v>0.342120628378561</v>
      </c>
      <c r="M86" s="246">
        <f t="shared" si="247"/>
        <v>0.34888778454987235</v>
      </c>
      <c r="N86" s="246">
        <f t="shared" si="247"/>
        <v>0.35211760892071464</v>
      </c>
      <c r="O86" s="246">
        <f t="shared" si="247"/>
        <v>0.3516737279410273</v>
      </c>
      <c r="P86" s="246">
        <f t="shared" si="247"/>
        <v>0.34746895856193943</v>
      </c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7"/>
      <c r="AF86" s="223"/>
      <c r="AG86" s="223"/>
      <c r="AH86" s="223"/>
      <c r="AI86" s="223"/>
      <c r="AJ86" s="223"/>
    </row>
    <row r="87" spans="1:36" ht="15.6">
      <c r="A87" s="223" t="s">
        <v>273</v>
      </c>
      <c r="B87" s="279">
        <v>398.79</v>
      </c>
      <c r="C87" s="279">
        <v>549.005</v>
      </c>
      <c r="D87" s="279">
        <v>849.11300000000006</v>
      </c>
      <c r="E87" s="279">
        <v>1219.153</v>
      </c>
      <c r="F87" s="279">
        <v>1337.116</v>
      </c>
      <c r="G87" s="242">
        <f>F87*(1+G88)</f>
        <v>1459.1387447275984</v>
      </c>
      <c r="H87" s="242">
        <f t="shared" ref="H87" si="248">G87*(1+H88)</f>
        <v>1584.2717974172456</v>
      </c>
      <c r="I87" s="242">
        <f t="shared" ref="I87" si="249">H87*(1+I88)</f>
        <v>1711.4225354683565</v>
      </c>
      <c r="J87" s="242">
        <f t="shared" ref="J87" si="250">I87*(1+J88)</f>
        <v>1839.3653337447079</v>
      </c>
      <c r="K87" s="242">
        <f t="shared" ref="K87" si="251">J87*(1+K88)</f>
        <v>1966.7563907608724</v>
      </c>
      <c r="L87" s="242">
        <f t="shared" ref="L87" si="252">K87*(1+L88)</f>
        <v>2092.1531577287346</v>
      </c>
      <c r="M87" s="242">
        <f t="shared" ref="M87" si="253">L87*(1+M88)</f>
        <v>2214.0381493540949</v>
      </c>
      <c r="N87" s="242">
        <f t="shared" ref="N87" si="254">M87*(1+N88)</f>
        <v>2330.8467263978941</v>
      </c>
      <c r="O87" s="242">
        <f t="shared" ref="O87" si="255">N87*(1+O88)</f>
        <v>2440.9982519440559</v>
      </c>
      <c r="P87" s="242">
        <f t="shared" ref="P87" si="256">O87*(1+P88)</f>
        <v>2542.9298454292029</v>
      </c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27"/>
      <c r="AF87" s="223"/>
      <c r="AG87" s="223"/>
      <c r="AH87" s="223"/>
      <c r="AI87" s="223"/>
      <c r="AJ87" s="223"/>
    </row>
    <row r="88" spans="1:36" ht="15.6">
      <c r="A88" s="236" t="s">
        <v>272</v>
      </c>
      <c r="B88" s="263"/>
      <c r="C88" s="251">
        <f>C87/B87-1</f>
        <v>0.37667694776699512</v>
      </c>
      <c r="D88" s="251">
        <f t="shared" ref="D88" si="257">D87/C87-1</f>
        <v>0.5466398302383404</v>
      </c>
      <c r="E88" s="251">
        <f t="shared" ref="E88" si="258">E87/D87-1</f>
        <v>0.43579594235396213</v>
      </c>
      <c r="F88" s="251">
        <f t="shared" ref="F88" si="259">F87/E87-1</f>
        <v>9.6758159148195411E-2</v>
      </c>
      <c r="G88" s="246">
        <f>F88+$S88</f>
        <v>9.1258159148195406E-2</v>
      </c>
      <c r="H88" s="246">
        <f t="shared" ref="H88:P88" si="260">G88+$S88</f>
        <v>8.5758159148195401E-2</v>
      </c>
      <c r="I88" s="246">
        <f t="shared" si="260"/>
        <v>8.0258159148195396E-2</v>
      </c>
      <c r="J88" s="246">
        <f t="shared" si="260"/>
        <v>7.4758159148195391E-2</v>
      </c>
      <c r="K88" s="246">
        <f t="shared" si="260"/>
        <v>6.9258159148195386E-2</v>
      </c>
      <c r="L88" s="246">
        <f t="shared" si="260"/>
        <v>6.3758159148195381E-2</v>
      </c>
      <c r="M88" s="246">
        <f t="shared" si="260"/>
        <v>5.8258159148195383E-2</v>
      </c>
      <c r="N88" s="246">
        <f t="shared" si="260"/>
        <v>5.2758159148195385E-2</v>
      </c>
      <c r="O88" s="246">
        <f t="shared" si="260"/>
        <v>4.7258159148195387E-2</v>
      </c>
      <c r="P88" s="246">
        <f t="shared" si="260"/>
        <v>4.175815914819539E-2</v>
      </c>
      <c r="Q88" s="223"/>
      <c r="R88" s="227" t="s">
        <v>274</v>
      </c>
      <c r="S88" s="282">
        <v>-5.4999999999999997E-3</v>
      </c>
      <c r="T88" s="508"/>
      <c r="U88" s="508"/>
      <c r="V88" s="508"/>
      <c r="W88" s="508"/>
      <c r="X88" s="508"/>
      <c r="Y88" s="508"/>
      <c r="Z88" s="508"/>
      <c r="AA88" s="508"/>
      <c r="AB88" s="508"/>
      <c r="AC88" s="508"/>
      <c r="AD88" s="262"/>
      <c r="AE88" s="227" t="s">
        <v>458</v>
      </c>
      <c r="AF88" s="223"/>
      <c r="AG88" s="223"/>
      <c r="AH88" s="223"/>
      <c r="AI88" s="223"/>
      <c r="AJ88" s="223"/>
    </row>
    <row r="89" spans="1:36" ht="15.6">
      <c r="A89" s="236" t="s">
        <v>304</v>
      </c>
      <c r="B89" s="246">
        <f>B87/B$90</f>
        <v>9.0595402554227419E-2</v>
      </c>
      <c r="C89" s="246">
        <f t="shared" ref="C89:P89" si="261">C87/C$90</f>
        <v>8.7747899543794985E-2</v>
      </c>
      <c r="D89" s="246">
        <f t="shared" si="261"/>
        <v>0.10469281986674588</v>
      </c>
      <c r="E89" s="246">
        <f t="shared" si="261"/>
        <v>0.12674059321292097</v>
      </c>
      <c r="F89" s="246">
        <f t="shared" si="261"/>
        <v>0.12628448131425712</v>
      </c>
      <c r="G89" s="246">
        <f>G87/G$90</f>
        <v>0.12327454536806109</v>
      </c>
      <c r="H89" s="246">
        <f>H87/H$90</f>
        <v>0.12039719866541504</v>
      </c>
      <c r="I89" s="246">
        <f t="shared" si="261"/>
        <v>0.11774409259308749</v>
      </c>
      <c r="J89" s="246">
        <f t="shared" si="261"/>
        <v>0.11539674204405388</v>
      </c>
      <c r="K89" s="246">
        <f t="shared" si="261"/>
        <v>0.11342503217495097</v>
      </c>
      <c r="L89" s="246">
        <f t="shared" si="261"/>
        <v>0.11188679388225839</v>
      </c>
      <c r="M89" s="246">
        <f t="shared" si="261"/>
        <v>0.11082805797399671</v>
      </c>
      <c r="N89" s="246">
        <f t="shared" si="261"/>
        <v>0.11028355044556924</v>
      </c>
      <c r="O89" s="246">
        <f t="shared" si="261"/>
        <v>0.11027701155741337</v>
      </c>
      <c r="P89" s="246">
        <f t="shared" si="261"/>
        <v>0.11082098700170752</v>
      </c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23"/>
      <c r="AF89" s="223"/>
      <c r="AG89" s="223"/>
      <c r="AH89" s="223"/>
      <c r="AI89" s="223"/>
      <c r="AJ89" s="223"/>
    </row>
    <row r="90" spans="1:36" ht="15.6">
      <c r="A90" s="262" t="s">
        <v>335</v>
      </c>
      <c r="B90" s="278">
        <f>B20</f>
        <v>4401.8789999999999</v>
      </c>
      <c r="C90" s="278">
        <f t="shared" ref="C90:F90" si="262">C20</f>
        <v>6256.6170000000002</v>
      </c>
      <c r="D90" s="278">
        <f t="shared" si="262"/>
        <v>8110.518</v>
      </c>
      <c r="E90" s="278">
        <f t="shared" si="262"/>
        <v>9619.2780000000002</v>
      </c>
      <c r="F90" s="278">
        <f t="shared" si="262"/>
        <v>10588.126</v>
      </c>
      <c r="G90" s="263">
        <f>SUM(G87,G84,G81)</f>
        <v>11836.496661748331</v>
      </c>
      <c r="H90" s="263">
        <f>SUM(H87,H84,H81)</f>
        <v>13158.709795399409</v>
      </c>
      <c r="I90" s="263">
        <f t="shared" ref="H90:P90" si="263">SUM(I87,I84,I81)</f>
        <v>14535.103186729477</v>
      </c>
      <c r="J90" s="263">
        <f t="shared" si="263"/>
        <v>15939.491021700695</v>
      </c>
      <c r="K90" s="263">
        <f t="shared" si="263"/>
        <v>17339.703177048912</v>
      </c>
      <c r="L90" s="263">
        <f t="shared" si="263"/>
        <v>18698.8391134915</v>
      </c>
      <c r="M90" s="263">
        <f t="shared" si="263"/>
        <v>19977.234915309702</v>
      </c>
      <c r="N90" s="263">
        <f t="shared" si="263"/>
        <v>21135.035252136629</v>
      </c>
      <c r="O90" s="263">
        <f t="shared" si="263"/>
        <v>22135.15054017584</v>
      </c>
      <c r="P90" s="263">
        <f t="shared" si="263"/>
        <v>22946.284040856102</v>
      </c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23"/>
      <c r="AF90" s="223"/>
      <c r="AG90" s="223"/>
      <c r="AH90" s="223"/>
      <c r="AI90" s="223"/>
      <c r="AJ90" s="223"/>
    </row>
    <row r="91" spans="1:36" ht="15.6">
      <c r="A91" s="264"/>
      <c r="B91" s="265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  <c r="AA91" s="261"/>
      <c r="AB91" s="261"/>
      <c r="AC91" s="261"/>
      <c r="AD91" s="261"/>
      <c r="AE91" s="227"/>
      <c r="AF91" s="227"/>
      <c r="AG91" s="227"/>
      <c r="AH91" s="227"/>
      <c r="AI91" s="227"/>
      <c r="AJ91" s="227"/>
    </row>
    <row r="92" spans="1:36" ht="15.6">
      <c r="A92" s="262"/>
      <c r="B92" s="267"/>
      <c r="C92" s="261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  <c r="AA92" s="261"/>
      <c r="AB92" s="261"/>
      <c r="AC92" s="261"/>
      <c r="AD92" s="261"/>
      <c r="AE92" s="227"/>
      <c r="AF92" s="227"/>
      <c r="AG92" s="227"/>
      <c r="AH92" s="227"/>
      <c r="AI92" s="227"/>
      <c r="AJ92" s="227"/>
    </row>
    <row r="93" spans="1:36" ht="15.6">
      <c r="A93" s="264"/>
      <c r="B93" s="265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27"/>
      <c r="AF93" s="227"/>
      <c r="AG93" s="227"/>
      <c r="AH93" s="227"/>
      <c r="AI93" s="227"/>
      <c r="AJ93" s="227"/>
    </row>
    <row r="94" spans="1:36" ht="15.6">
      <c r="A94" s="236"/>
      <c r="B94" s="241"/>
      <c r="C94" s="251"/>
      <c r="D94" s="251"/>
      <c r="E94" s="251"/>
      <c r="F94" s="251"/>
      <c r="G94" s="268"/>
      <c r="H94" s="269"/>
      <c r="I94" s="269"/>
      <c r="J94" s="269"/>
      <c r="K94" s="269"/>
      <c r="L94" s="269"/>
      <c r="M94" s="269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  <c r="AA94" s="261"/>
      <c r="AB94" s="261"/>
      <c r="AC94" s="261"/>
      <c r="AD94" s="261"/>
      <c r="AE94" s="227"/>
      <c r="AF94" s="227"/>
      <c r="AG94" s="227"/>
      <c r="AH94" s="227"/>
      <c r="AI94" s="227"/>
      <c r="AJ94" s="227"/>
    </row>
    <row r="95" spans="1:36" ht="15.6">
      <c r="A95" s="262"/>
      <c r="B95" s="267"/>
      <c r="C95" s="270"/>
      <c r="D95" s="268"/>
      <c r="E95" s="268"/>
      <c r="F95" s="268"/>
      <c r="G95" s="268"/>
      <c r="H95" s="269"/>
      <c r="I95" s="269"/>
      <c r="J95" s="269"/>
      <c r="K95" s="269"/>
      <c r="L95" s="269"/>
      <c r="M95" s="269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  <c r="AA95" s="261"/>
      <c r="AB95" s="261"/>
      <c r="AC95" s="261"/>
      <c r="AD95" s="261"/>
      <c r="AE95" s="227"/>
      <c r="AF95" s="227"/>
      <c r="AG95" s="227"/>
      <c r="AH95" s="227"/>
      <c r="AI95" s="227"/>
      <c r="AJ95" s="227"/>
    </row>
    <row r="96" spans="1:36" ht="15.6">
      <c r="A96" s="32" t="s">
        <v>47</v>
      </c>
      <c r="B96" s="36">
        <v>2020</v>
      </c>
      <c r="C96" s="36">
        <f>B96+1</f>
        <v>2021</v>
      </c>
      <c r="D96" s="36">
        <f t="shared" ref="D96:P96" si="264">C96+1</f>
        <v>2022</v>
      </c>
      <c r="E96" s="36">
        <f t="shared" si="264"/>
        <v>2023</v>
      </c>
      <c r="F96" s="36">
        <f t="shared" si="264"/>
        <v>2024</v>
      </c>
      <c r="G96" s="37">
        <f t="shared" si="264"/>
        <v>2025</v>
      </c>
      <c r="H96" s="37">
        <f t="shared" si="264"/>
        <v>2026</v>
      </c>
      <c r="I96" s="37">
        <f t="shared" si="264"/>
        <v>2027</v>
      </c>
      <c r="J96" s="37">
        <f t="shared" si="264"/>
        <v>2028</v>
      </c>
      <c r="K96" s="37">
        <f t="shared" si="264"/>
        <v>2029</v>
      </c>
      <c r="L96" s="37">
        <f t="shared" si="264"/>
        <v>2030</v>
      </c>
      <c r="M96" s="37">
        <f t="shared" si="264"/>
        <v>2031</v>
      </c>
      <c r="N96" s="37">
        <f t="shared" si="264"/>
        <v>2032</v>
      </c>
      <c r="O96" s="37">
        <f t="shared" si="264"/>
        <v>2033</v>
      </c>
      <c r="P96" s="37">
        <f t="shared" si="264"/>
        <v>2034</v>
      </c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61"/>
      <c r="AE96" s="227"/>
      <c r="AF96" s="227"/>
      <c r="AG96" s="227"/>
      <c r="AH96" s="227"/>
      <c r="AI96" s="227"/>
      <c r="AJ96" s="227"/>
    </row>
    <row r="97" spans="1:36" ht="15.6">
      <c r="A97" s="211" t="s">
        <v>229</v>
      </c>
      <c r="B97" s="210">
        <f>EOMONTH(C97,-12)</f>
        <v>44227</v>
      </c>
      <c r="C97" s="209">
        <v>44591</v>
      </c>
      <c r="D97" s="209">
        <v>44955</v>
      </c>
      <c r="E97" s="209">
        <v>45319</v>
      </c>
      <c r="F97" s="209">
        <v>45690</v>
      </c>
      <c r="G97" s="209">
        <f>EOMONTH(F97,11)</f>
        <v>46053</v>
      </c>
      <c r="H97" s="209">
        <f>EOMONTH(G97,12)</f>
        <v>46418</v>
      </c>
      <c r="I97" s="209">
        <f t="shared" ref="I97:P97" si="265">EOMONTH(H97,12)</f>
        <v>46783</v>
      </c>
      <c r="J97" s="209">
        <f t="shared" si="265"/>
        <v>47149</v>
      </c>
      <c r="K97" s="209">
        <f t="shared" si="265"/>
        <v>47514</v>
      </c>
      <c r="L97" s="209">
        <f t="shared" si="265"/>
        <v>47879</v>
      </c>
      <c r="M97" s="209">
        <f t="shared" si="265"/>
        <v>48244</v>
      </c>
      <c r="N97" s="209">
        <f t="shared" si="265"/>
        <v>48610</v>
      </c>
      <c r="O97" s="209">
        <f t="shared" si="265"/>
        <v>48975</v>
      </c>
      <c r="P97" s="209">
        <f t="shared" si="265"/>
        <v>49340</v>
      </c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  <c r="AD97" s="261"/>
      <c r="AE97" s="227"/>
      <c r="AF97" s="227"/>
      <c r="AG97" s="227"/>
      <c r="AH97" s="227"/>
      <c r="AI97" s="227"/>
      <c r="AJ97" s="227"/>
    </row>
    <row r="98" spans="1:36" ht="18">
      <c r="A98" s="287" t="s">
        <v>454</v>
      </c>
      <c r="B98" s="287"/>
      <c r="C98" s="288"/>
      <c r="D98" s="288"/>
      <c r="E98" s="288"/>
      <c r="F98" s="288"/>
      <c r="G98" s="288"/>
      <c r="H98" s="505"/>
      <c r="I98" s="288"/>
      <c r="J98" s="288"/>
      <c r="K98" s="288"/>
      <c r="L98" s="288"/>
      <c r="M98" s="288"/>
      <c r="N98" s="288"/>
      <c r="O98" s="288"/>
      <c r="P98" s="288"/>
      <c r="Q98" s="507"/>
      <c r="R98" s="507"/>
      <c r="S98" s="507"/>
      <c r="T98" s="507"/>
      <c r="U98" s="507"/>
      <c r="V98" s="507"/>
      <c r="W98" s="507"/>
      <c r="X98" s="507"/>
      <c r="Y98" s="507"/>
      <c r="Z98" s="507"/>
      <c r="AA98" s="507"/>
      <c r="AB98" s="507"/>
      <c r="AC98" s="507"/>
      <c r="AD98" s="261"/>
      <c r="AE98" s="227"/>
      <c r="AF98" s="227"/>
      <c r="AG98" s="227"/>
      <c r="AH98" s="227"/>
      <c r="AI98" s="227"/>
      <c r="AJ98" s="227"/>
    </row>
    <row r="99" spans="1:36" ht="15.6">
      <c r="A99" s="226" t="s">
        <v>345</v>
      </c>
      <c r="B99" s="226"/>
      <c r="C99" s="223"/>
      <c r="D99" s="223"/>
      <c r="E99" s="223"/>
      <c r="F99" s="223"/>
      <c r="G99" s="223"/>
      <c r="H99" s="506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/>
      <c r="Z99" s="223"/>
      <c r="AA99" s="223"/>
      <c r="AB99" s="223"/>
      <c r="AC99" s="223"/>
      <c r="AD99" s="261"/>
      <c r="AE99" s="227"/>
      <c r="AF99" s="227"/>
      <c r="AG99" s="227"/>
      <c r="AH99" s="227"/>
      <c r="AI99" s="227"/>
      <c r="AJ99" s="227"/>
    </row>
    <row r="100" spans="1:36" ht="15.6">
      <c r="A100" s="223" t="s">
        <v>279</v>
      </c>
      <c r="B100" s="248">
        <f>SUM(B101:B102)</f>
        <v>3777.74</v>
      </c>
      <c r="C100" s="248">
        <f t="shared" ref="C100:D100" si="266">SUM(C101:C102)</f>
        <v>5299.9059999999999</v>
      </c>
      <c r="D100" s="248">
        <f t="shared" si="266"/>
        <v>6817.4539999999997</v>
      </c>
      <c r="E100" s="249">
        <v>7631.6469999999999</v>
      </c>
      <c r="F100" s="249">
        <v>7928.1559999999999</v>
      </c>
      <c r="G100" s="242">
        <f t="shared" ref="G100:P100" si="267">G115*G135</f>
        <v>8501.5235000663015</v>
      </c>
      <c r="H100" s="242">
        <f t="shared" si="267"/>
        <v>9079.3258471678801</v>
      </c>
      <c r="I100" s="242">
        <f t="shared" si="267"/>
        <v>9656.8978017673853</v>
      </c>
      <c r="J100" s="242">
        <f t="shared" si="267"/>
        <v>10229.248839707876</v>
      </c>
      <c r="K100" s="242">
        <f t="shared" si="267"/>
        <v>10791.126414853161</v>
      </c>
      <c r="L100" s="242">
        <f t="shared" si="267"/>
        <v>11337.08922778639</v>
      </c>
      <c r="M100" s="242">
        <f t="shared" si="267"/>
        <v>11861.589294461903</v>
      </c>
      <c r="N100" s="242">
        <f t="shared" si="267"/>
        <v>12359.061262208668</v>
      </c>
      <c r="O100" s="242">
        <f t="shared" si="267"/>
        <v>12824.017104096783</v>
      </c>
      <c r="P100" s="242">
        <f t="shared" si="267"/>
        <v>13251.144050628796</v>
      </c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61"/>
      <c r="AE100" s="227"/>
      <c r="AF100" s="227"/>
      <c r="AG100" s="227"/>
      <c r="AH100" s="227"/>
      <c r="AI100" s="227"/>
      <c r="AJ100" s="227"/>
    </row>
    <row r="101" spans="1:36" ht="15.6">
      <c r="A101" s="223" t="s">
        <v>276</v>
      </c>
      <c r="B101" s="249">
        <v>3105.1329999999998</v>
      </c>
      <c r="C101" s="249">
        <v>4345.6869999999999</v>
      </c>
      <c r="D101" s="249">
        <v>5654.3429999999998</v>
      </c>
      <c r="E101" s="249"/>
      <c r="F101" s="249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  <c r="AA101" s="223"/>
      <c r="AB101" s="223"/>
      <c r="AC101" s="223"/>
      <c r="AD101" s="261"/>
      <c r="AE101" s="227"/>
      <c r="AF101" s="227"/>
      <c r="AG101" s="227"/>
      <c r="AH101" s="227"/>
      <c r="AI101" s="227"/>
      <c r="AJ101" s="227"/>
    </row>
    <row r="102" spans="1:36" ht="15.6">
      <c r="A102" s="223" t="s">
        <v>277</v>
      </c>
      <c r="B102" s="249">
        <v>672.60699999999997</v>
      </c>
      <c r="C102" s="249">
        <v>954.21900000000005</v>
      </c>
      <c r="D102" s="249">
        <v>1163.1110000000001</v>
      </c>
      <c r="E102" s="249"/>
      <c r="F102" s="249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61"/>
      <c r="AE102" s="227"/>
      <c r="AF102" s="227"/>
      <c r="AG102" s="227"/>
      <c r="AH102" s="227"/>
      <c r="AI102" s="227"/>
      <c r="AJ102" s="227"/>
    </row>
    <row r="103" spans="1:36" ht="15.6">
      <c r="A103" s="250" t="s">
        <v>306</v>
      </c>
      <c r="B103" s="241"/>
      <c r="C103" s="251">
        <f>C100/B100-1</f>
        <v>0.40293032342088142</v>
      </c>
      <c r="D103" s="251">
        <f>D100/C100-1</f>
        <v>0.28633488971313836</v>
      </c>
      <c r="E103" s="246">
        <f>E100/D100-1</f>
        <v>0.11942772184454786</v>
      </c>
      <c r="F103" s="246">
        <f>F100/E100-1</f>
        <v>3.8852556990647047E-2</v>
      </c>
      <c r="G103" s="246">
        <f>G100/F100-1</f>
        <v>7.232041095890418E-2</v>
      </c>
      <c r="H103" s="246">
        <f t="shared" ref="H103:P103" si="268">H100/G100-1</f>
        <v>6.7964565068493021E-2</v>
      </c>
      <c r="I103" s="246">
        <f t="shared" si="268"/>
        <v>6.3613969178082597E-2</v>
      </c>
      <c r="J103" s="246">
        <f t="shared" si="268"/>
        <v>5.9268623287671129E-2</v>
      </c>
      <c r="K103" s="246">
        <f t="shared" si="268"/>
        <v>5.4928527397260174E-2</v>
      </c>
      <c r="L103" s="246">
        <f t="shared" si="268"/>
        <v>5.0593681506849286E-2</v>
      </c>
      <c r="M103" s="246">
        <f t="shared" si="268"/>
        <v>4.6264085616438688E-2</v>
      </c>
      <c r="N103" s="246">
        <f t="shared" si="268"/>
        <v>4.1939739726027492E-2</v>
      </c>
      <c r="O103" s="246">
        <f t="shared" si="268"/>
        <v>3.7620643835616363E-2</v>
      </c>
      <c r="P103" s="246">
        <f t="shared" si="268"/>
        <v>3.3306797945205746E-2</v>
      </c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61"/>
      <c r="AE103" s="227"/>
      <c r="AF103" s="227"/>
      <c r="AG103" s="227"/>
      <c r="AH103" s="227"/>
      <c r="AI103" s="227"/>
      <c r="AJ103" s="227"/>
    </row>
    <row r="104" spans="1:36" ht="15.6">
      <c r="A104" s="250" t="s">
        <v>304</v>
      </c>
      <c r="B104" s="246">
        <f>B100/B111</f>
        <v>0.85821077771560728</v>
      </c>
      <c r="C104" s="246">
        <f t="shared" ref="C104:D104" si="269">C100/C111</f>
        <v>1.2040099239438431</v>
      </c>
      <c r="D104" s="246">
        <f t="shared" si="269"/>
        <v>1.5487599727298273</v>
      </c>
      <c r="E104" s="246">
        <f>E100/E111</f>
        <v>1.7337248479569747</v>
      </c>
      <c r="F104" s="246">
        <f>F100/F111</f>
        <v>1.8010844914183239</v>
      </c>
      <c r="G104" s="246">
        <f>G100/G$20</f>
        <v>0.71122451914736173</v>
      </c>
      <c r="H104" s="246">
        <f t="shared" ref="H104:P104" si="270">H100/H$20</f>
        <v>0.67421966439397329</v>
      </c>
      <c r="I104" s="246">
        <f t="shared" si="270"/>
        <v>0.64886196449819045</v>
      </c>
      <c r="J104" s="246">
        <f t="shared" si="270"/>
        <v>0.63313522445183923</v>
      </c>
      <c r="K104" s="246">
        <f t="shared" si="270"/>
        <v>0.62551483385913975</v>
      </c>
      <c r="L104" s="246">
        <f t="shared" si="270"/>
        <v>0.62480913467536514</v>
      </c>
      <c r="M104" s="246">
        <f t="shared" si="270"/>
        <v>0.6300383353506549</v>
      </c>
      <c r="N104" s="246">
        <f t="shared" si="270"/>
        <v>0.64033808130755066</v>
      </c>
      <c r="O104" s="246">
        <f t="shared" si="270"/>
        <v>0.65487967734505437</v>
      </c>
      <c r="P104" s="246">
        <f t="shared" si="270"/>
        <v>0.67280262890673093</v>
      </c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61"/>
      <c r="AE104" s="227"/>
      <c r="AF104" s="227"/>
      <c r="AG104" s="227"/>
      <c r="AH104" s="227"/>
      <c r="AI104" s="227"/>
      <c r="AJ104" s="227"/>
    </row>
    <row r="105" spans="1:36" ht="15.6">
      <c r="A105" s="223" t="s">
        <v>280</v>
      </c>
      <c r="B105" s="249">
        <v>297.69</v>
      </c>
      <c r="C105" s="249">
        <v>520.37199999999996</v>
      </c>
      <c r="D105" s="249">
        <v>681.63300000000004</v>
      </c>
      <c r="E105" s="249">
        <v>963.76</v>
      </c>
      <c r="F105" s="249">
        <v>1361.337</v>
      </c>
      <c r="G105" s="242">
        <f t="shared" ref="G105:P105" si="271">G120*G138</f>
        <v>1869.9007999577298</v>
      </c>
      <c r="H105" s="242">
        <f t="shared" si="271"/>
        <v>2496.6222602440334</v>
      </c>
      <c r="I105" s="242">
        <f t="shared" si="271"/>
        <v>3238.8323058826804</v>
      </c>
      <c r="J105" s="242">
        <f t="shared" si="271"/>
        <v>4080.7502902384254</v>
      </c>
      <c r="K105" s="242">
        <f t="shared" si="271"/>
        <v>4991.3315533140067</v>
      </c>
      <c r="L105" s="242">
        <f t="shared" si="271"/>
        <v>5924.0760645390546</v>
      </c>
      <c r="M105" s="242">
        <f t="shared" si="271"/>
        <v>6819.450492958832</v>
      </c>
      <c r="N105" s="242">
        <f t="shared" si="271"/>
        <v>7610.144294983048</v>
      </c>
      <c r="O105" s="242">
        <f t="shared" si="271"/>
        <v>8228.7621473570034</v>
      </c>
      <c r="P105" s="242">
        <f t="shared" si="271"/>
        <v>8616.8866725445969</v>
      </c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61"/>
      <c r="AE105" s="227"/>
      <c r="AF105" s="227"/>
      <c r="AG105" s="227"/>
      <c r="AH105" s="227"/>
      <c r="AI105" s="227"/>
      <c r="AJ105" s="227"/>
    </row>
    <row r="106" spans="1:36" ht="15.6">
      <c r="A106" s="250" t="s">
        <v>306</v>
      </c>
      <c r="B106" s="242"/>
      <c r="C106" s="251">
        <f t="shared" ref="C106:P106" si="272">C105/B105-1</f>
        <v>0.74803318888776893</v>
      </c>
      <c r="D106" s="251">
        <f t="shared" si="272"/>
        <v>0.3098956131382935</v>
      </c>
      <c r="E106" s="246">
        <f t="shared" si="272"/>
        <v>0.41389868154857523</v>
      </c>
      <c r="F106" s="246">
        <f t="shared" si="272"/>
        <v>0.41252697767078939</v>
      </c>
      <c r="G106" s="246">
        <f t="shared" si="272"/>
        <v>0.37357671168691509</v>
      </c>
      <c r="H106" s="246">
        <f t="shared" si="272"/>
        <v>0.33516294570304006</v>
      </c>
      <c r="I106" s="246">
        <f t="shared" si="272"/>
        <v>0.29728567971916564</v>
      </c>
      <c r="J106" s="246">
        <f t="shared" si="272"/>
        <v>0.25994491373529027</v>
      </c>
      <c r="K106" s="246">
        <f t="shared" si="272"/>
        <v>0.22314064775141595</v>
      </c>
      <c r="L106" s="246">
        <f t="shared" si="272"/>
        <v>0.18687288176754158</v>
      </c>
      <c r="M106" s="246">
        <f t="shared" si="272"/>
        <v>0.15114161578366647</v>
      </c>
      <c r="N106" s="246">
        <f t="shared" si="272"/>
        <v>0.1159468497997922</v>
      </c>
      <c r="O106" s="246">
        <f t="shared" si="272"/>
        <v>8.1288583815917415E-2</v>
      </c>
      <c r="P106" s="246">
        <f t="shared" si="272"/>
        <v>4.7166817832042351E-2</v>
      </c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71"/>
      <c r="AE106" s="230"/>
      <c r="AF106" s="230"/>
      <c r="AG106" s="230"/>
      <c r="AH106" s="230"/>
      <c r="AI106" s="230"/>
      <c r="AJ106" s="230"/>
    </row>
    <row r="107" spans="1:36" ht="15.6">
      <c r="A107" s="250" t="s">
        <v>304</v>
      </c>
      <c r="B107" s="246">
        <f>B105/B111</f>
        <v>6.762793797830427E-2</v>
      </c>
      <c r="C107" s="246">
        <f t="shared" ref="C107:F107" si="273">C105/C111</f>
        <v>0.11821588008211947</v>
      </c>
      <c r="D107" s="246">
        <f t="shared" si="273"/>
        <v>0.15485046272285086</v>
      </c>
      <c r="E107" s="246">
        <f t="shared" si="273"/>
        <v>0.21894286508102562</v>
      </c>
      <c r="F107" s="246">
        <f t="shared" si="273"/>
        <v>0.30926270349548457</v>
      </c>
      <c r="G107" s="246">
        <f>G105/G$20</f>
        <v>0.156433055474449</v>
      </c>
      <c r="H107" s="246">
        <f t="shared" ref="H107:P107" si="274">H105/H$20</f>
        <v>0.18539612420071028</v>
      </c>
      <c r="I107" s="246">
        <f t="shared" si="274"/>
        <v>0.21762217389218078</v>
      </c>
      <c r="J107" s="246">
        <f t="shared" si="274"/>
        <v>0.25257639064490656</v>
      </c>
      <c r="K107" s="246">
        <f t="shared" si="274"/>
        <v>0.28932585971837838</v>
      </c>
      <c r="L107" s="246">
        <f t="shared" si="274"/>
        <v>0.3264874047708633</v>
      </c>
      <c r="M107" s="246">
        <f t="shared" si="274"/>
        <v>0.3622208736055294</v>
      </c>
      <c r="N107" s="246">
        <f t="shared" si="274"/>
        <v>0.39429088447225563</v>
      </c>
      <c r="O107" s="246">
        <f t="shared" si="274"/>
        <v>0.42021537060246272</v>
      </c>
      <c r="P107" s="246">
        <f t="shared" si="274"/>
        <v>0.43750667747093697</v>
      </c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61"/>
      <c r="AE107" s="227"/>
      <c r="AF107" s="227"/>
      <c r="AG107" s="227"/>
      <c r="AH107" s="227"/>
      <c r="AI107" s="227"/>
      <c r="AJ107" s="227"/>
    </row>
    <row r="108" spans="1:36" ht="15.6">
      <c r="A108" s="223" t="s">
        <v>303</v>
      </c>
      <c r="B108" s="249">
        <v>326.44900000000001</v>
      </c>
      <c r="C108" s="249">
        <v>436.339</v>
      </c>
      <c r="D108" s="249">
        <v>611.43100000000004</v>
      </c>
      <c r="E108" s="249">
        <v>1023.871</v>
      </c>
      <c r="F108" s="249">
        <v>1298.633</v>
      </c>
      <c r="G108" s="242">
        <f>G125*(G152+G165)</f>
        <v>1590.7409448195315</v>
      </c>
      <c r="H108" s="242">
        <f t="shared" ref="H108:Q108" si="275">H125*(H152+H165)</f>
        <v>1989.6743091711592</v>
      </c>
      <c r="I108" s="242">
        <f t="shared" si="275"/>
        <v>2443.1713020852749</v>
      </c>
      <c r="J108" s="242">
        <f t="shared" si="275"/>
        <v>2946.0792176087975</v>
      </c>
      <c r="K108" s="242">
        <f t="shared" si="275"/>
        <v>3489.3412149032533</v>
      </c>
      <c r="L108" s="242">
        <f t="shared" si="275"/>
        <v>4059.8438955823808</v>
      </c>
      <c r="M108" s="242">
        <f t="shared" si="275"/>
        <v>4640.6046305347863</v>
      </c>
      <c r="N108" s="242">
        <f t="shared" si="275"/>
        <v>5211.3471512032038</v>
      </c>
      <c r="O108" s="242">
        <f t="shared" si="275"/>
        <v>5749.4747487720915</v>
      </c>
      <c r="P108" s="242">
        <f t="shared" si="275"/>
        <v>6231.4021906851995</v>
      </c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71"/>
      <c r="AE108" s="230"/>
      <c r="AF108" s="230"/>
      <c r="AG108" s="230"/>
      <c r="AH108" s="230"/>
      <c r="AI108" s="230"/>
      <c r="AJ108" s="230"/>
    </row>
    <row r="109" spans="1:36" ht="15.6">
      <c r="A109" s="250" t="s">
        <v>306</v>
      </c>
      <c r="B109" s="241"/>
      <c r="C109" s="246">
        <v>0.53</v>
      </c>
      <c r="D109" s="246">
        <f t="shared" ref="D109:P109" si="276">D108/C108-1</f>
        <v>0.40127515532647795</v>
      </c>
      <c r="E109" s="246">
        <f t="shared" si="276"/>
        <v>0.67454872258684939</v>
      </c>
      <c r="F109" s="246">
        <f t="shared" si="276"/>
        <v>0.26835607220050184</v>
      </c>
      <c r="G109" s="246">
        <f t="shared" si="276"/>
        <v>0.22493494683989357</v>
      </c>
      <c r="H109" s="246">
        <f t="shared" si="276"/>
        <v>0.25078462062022711</v>
      </c>
      <c r="I109" s="246">
        <f t="shared" si="276"/>
        <v>0.22792523923326402</v>
      </c>
      <c r="J109" s="246">
        <f t="shared" si="276"/>
        <v>0.20584226537626926</v>
      </c>
      <c r="K109" s="246">
        <f t="shared" si="276"/>
        <v>0.18440169362974479</v>
      </c>
      <c r="L109" s="246">
        <f t="shared" si="276"/>
        <v>0.16349867941904495</v>
      </c>
      <c r="M109" s="246">
        <f t="shared" si="276"/>
        <v>0.14305001618026392</v>
      </c>
      <c r="N109" s="246">
        <f t="shared" si="276"/>
        <v>0.12298882712674541</v>
      </c>
      <c r="O109" s="246">
        <f t="shared" si="276"/>
        <v>0.10326074658922768</v>
      </c>
      <c r="P109" s="246">
        <f t="shared" si="276"/>
        <v>8.3821125054255097E-2</v>
      </c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61"/>
      <c r="AE109" s="227"/>
      <c r="AF109" s="227"/>
      <c r="AG109" s="227"/>
      <c r="AH109" s="227"/>
      <c r="AI109" s="227"/>
      <c r="AJ109" s="227"/>
    </row>
    <row r="110" spans="1:36" ht="15.6">
      <c r="A110" s="250" t="s">
        <v>304</v>
      </c>
      <c r="B110" s="246">
        <f>B108/B111</f>
        <v>7.4161284306088385E-2</v>
      </c>
      <c r="C110" s="246">
        <f>C108/C111</f>
        <v>9.9125623398553214E-2</v>
      </c>
      <c r="D110" s="246">
        <f t="shared" ref="D110:F110" si="277">D108/D111</f>
        <v>0.13890227332464161</v>
      </c>
      <c r="E110" s="246">
        <f t="shared" si="277"/>
        <v>0.23259862436018799</v>
      </c>
      <c r="F110" s="246">
        <f t="shared" si="277"/>
        <v>0.29501787759272802</v>
      </c>
      <c r="G110" s="246">
        <f>G108/G$20</f>
        <v>0.13307896679441841</v>
      </c>
      <c r="H110" s="246">
        <f t="shared" ref="H110:P110" si="278">H108/H$20</f>
        <v>0.14775078762055199</v>
      </c>
      <c r="I110" s="246">
        <f t="shared" si="278"/>
        <v>0.1641604750530257</v>
      </c>
      <c r="J110" s="246">
        <f t="shared" si="278"/>
        <v>0.18234638299667297</v>
      </c>
      <c r="K110" s="246">
        <f t="shared" si="278"/>
        <v>0.20226198882387547</v>
      </c>
      <c r="L110" s="246">
        <f t="shared" si="278"/>
        <v>0.22374592810814253</v>
      </c>
      <c r="M110" s="246">
        <f t="shared" si="278"/>
        <v>0.24648963506161536</v>
      </c>
      <c r="N110" s="246">
        <f t="shared" si="278"/>
        <v>0.27000627030087843</v>
      </c>
      <c r="O110" s="246">
        <f t="shared" si="278"/>
        <v>0.29360645247241307</v>
      </c>
      <c r="P110" s="246">
        <f t="shared" si="278"/>
        <v>0.3163880612609612</v>
      </c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71"/>
      <c r="AE110" s="230"/>
      <c r="AF110" s="230"/>
      <c r="AG110" s="230"/>
      <c r="AH110" s="230"/>
      <c r="AI110" s="230"/>
      <c r="AJ110" s="230"/>
    </row>
    <row r="111" spans="1:36" ht="15.6">
      <c r="A111" s="223" t="s">
        <v>305</v>
      </c>
      <c r="B111" s="504">
        <f>$B$20</f>
        <v>4401.8789999999999</v>
      </c>
      <c r="C111" s="504">
        <f t="shared" ref="C111:F111" si="279">$B$20</f>
        <v>4401.8789999999999</v>
      </c>
      <c r="D111" s="504">
        <f t="shared" si="279"/>
        <v>4401.8789999999999</v>
      </c>
      <c r="E111" s="504">
        <f t="shared" si="279"/>
        <v>4401.8789999999999</v>
      </c>
      <c r="F111" s="504">
        <f t="shared" si="279"/>
        <v>4401.8789999999999</v>
      </c>
      <c r="G111" s="242">
        <f>SUM(G108+G105+G100)</f>
        <v>11962.165244843563</v>
      </c>
      <c r="H111" s="242">
        <f t="shared" ref="H111" si="280">SUM(H108+H105+H100)</f>
        <v>13565.622416583072</v>
      </c>
      <c r="I111" s="242">
        <f>H111*(1+I112)</f>
        <v>15093.709174717313</v>
      </c>
      <c r="J111" s="242">
        <f t="shared" ref="J111:P111" si="281">I111*(1+J112)</f>
        <v>16498.089126420768</v>
      </c>
      <c r="K111" s="242">
        <f t="shared" si="281"/>
        <v>17739.472301337137</v>
      </c>
      <c r="L111" s="242">
        <f t="shared" si="281"/>
        <v>18790.430627030604</v>
      </c>
      <c r="M111" s="242">
        <f t="shared" si="281"/>
        <v>19636.827873810387</v>
      </c>
      <c r="N111" s="242">
        <f t="shared" si="281"/>
        <v>20277.85362161959</v>
      </c>
      <c r="O111" s="242">
        <f t="shared" si="281"/>
        <v>20724.859802722778</v>
      </c>
      <c r="P111" s="242">
        <f t="shared" si="281"/>
        <v>20999.341047739155</v>
      </c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71"/>
      <c r="AE111" s="230"/>
      <c r="AF111" s="230"/>
      <c r="AG111" s="230"/>
      <c r="AH111" s="230"/>
      <c r="AI111" s="230"/>
      <c r="AJ111" s="230"/>
    </row>
    <row r="112" spans="1:36" ht="15.6">
      <c r="A112" s="250" t="s">
        <v>336</v>
      </c>
      <c r="B112" s="243"/>
      <c r="C112" s="246">
        <v>0.53</v>
      </c>
      <c r="D112" s="246">
        <f t="shared" ref="D112:G112" si="282">D111/C111-1</f>
        <v>0</v>
      </c>
      <c r="E112" s="246">
        <f t="shared" si="282"/>
        <v>0</v>
      </c>
      <c r="F112" s="246">
        <f t="shared" si="282"/>
        <v>0</v>
      </c>
      <c r="G112" s="246">
        <f t="shared" si="282"/>
        <v>1.7175134175300055</v>
      </c>
      <c r="H112" s="246">
        <f>H111/G111-1</f>
        <v>0.13404405798780439</v>
      </c>
      <c r="I112" s="246">
        <f>H112+$S$21-($S$22*I113)</f>
        <v>0.1126440579878044</v>
      </c>
      <c r="J112" s="246">
        <f t="shared" ref="J112:P112" si="283">I112+$S$21-($S$22*J113)</f>
        <v>9.3044057987804393E-2</v>
      </c>
      <c r="K112" s="246">
        <f t="shared" si="283"/>
        <v>7.5244057987804383E-2</v>
      </c>
      <c r="L112" s="246">
        <f t="shared" si="283"/>
        <v>5.9244057987804383E-2</v>
      </c>
      <c r="M112" s="246">
        <f t="shared" si="283"/>
        <v>4.5044057987804378E-2</v>
      </c>
      <c r="N112" s="246">
        <f t="shared" si="283"/>
        <v>3.2644057987804377E-2</v>
      </c>
      <c r="O112" s="246">
        <f t="shared" si="283"/>
        <v>2.2044057987804375E-2</v>
      </c>
      <c r="P112" s="246">
        <f t="shared" si="283"/>
        <v>1.3244057987804373E-2</v>
      </c>
      <c r="Q112" s="223"/>
      <c r="R112" s="227" t="s">
        <v>274</v>
      </c>
      <c r="S112" s="282">
        <v>-2.2499999999999999E-2</v>
      </c>
      <c r="T112" s="508"/>
      <c r="U112" s="508"/>
      <c r="V112" s="508"/>
      <c r="W112" s="508"/>
      <c r="X112" s="508"/>
      <c r="Y112" s="508"/>
      <c r="Z112" s="508"/>
      <c r="AA112" s="508"/>
      <c r="AB112" s="508"/>
      <c r="AC112" s="508"/>
      <c r="AD112" s="261"/>
      <c r="AE112" s="227" t="s">
        <v>450</v>
      </c>
      <c r="AF112" s="227"/>
      <c r="AG112" s="227"/>
      <c r="AH112" s="227"/>
      <c r="AI112" s="227"/>
      <c r="AJ112" s="227"/>
    </row>
    <row r="113" spans="1:36" ht="15.6">
      <c r="A113" s="250"/>
      <c r="B113" s="249"/>
      <c r="C113" s="251"/>
      <c r="D113" s="251"/>
      <c r="E113" s="251"/>
      <c r="F113" s="251"/>
      <c r="G113" s="242"/>
      <c r="H113" s="346">
        <v>1</v>
      </c>
      <c r="I113" s="346">
        <v>2</v>
      </c>
      <c r="J113" s="346">
        <v>3</v>
      </c>
      <c r="K113" s="346">
        <v>4</v>
      </c>
      <c r="L113" s="346">
        <v>5</v>
      </c>
      <c r="M113" s="346">
        <v>6</v>
      </c>
      <c r="N113" s="346">
        <v>7</v>
      </c>
      <c r="O113" s="346">
        <v>8</v>
      </c>
      <c r="P113" s="346">
        <v>9</v>
      </c>
      <c r="Q113" s="223"/>
      <c r="R113" s="227" t="s">
        <v>426</v>
      </c>
      <c r="S113" s="282">
        <v>-2.2000000000000001E-3</v>
      </c>
      <c r="T113" s="508"/>
      <c r="U113" s="508"/>
      <c r="V113" s="508"/>
      <c r="W113" s="508"/>
      <c r="X113" s="508"/>
      <c r="Y113" s="508"/>
      <c r="Z113" s="508"/>
      <c r="AA113" s="508"/>
      <c r="AB113" s="508"/>
      <c r="AC113" s="508"/>
      <c r="AD113" s="261"/>
      <c r="AE113" s="227" t="s">
        <v>450</v>
      </c>
      <c r="AF113" s="227"/>
      <c r="AG113" s="227"/>
      <c r="AH113" s="227"/>
      <c r="AI113" s="227"/>
      <c r="AJ113" s="227"/>
    </row>
    <row r="114" spans="1:36" ht="15.6">
      <c r="A114" s="237" t="s">
        <v>307</v>
      </c>
      <c r="B114" s="249"/>
      <c r="C114" s="251"/>
      <c r="D114" s="251"/>
      <c r="E114" s="251"/>
      <c r="F114" s="251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61"/>
      <c r="AE114" s="223"/>
      <c r="AF114" s="227"/>
      <c r="AG114" s="227"/>
      <c r="AH114" s="227"/>
      <c r="AI114" s="227"/>
      <c r="AJ114" s="227"/>
    </row>
    <row r="115" spans="1:36" ht="15.6">
      <c r="A115" s="250" t="s">
        <v>279</v>
      </c>
      <c r="B115" s="276">
        <f>B100/B135</f>
        <v>10.02053050397878</v>
      </c>
      <c r="C115" s="276">
        <f>C100/C135</f>
        <v>13.694847545219638</v>
      </c>
      <c r="D115" s="276">
        <f>D100/D135</f>
        <v>16.270773269689737</v>
      </c>
      <c r="E115" s="277">
        <f>E100/E135</f>
        <v>17.423851598173517</v>
      </c>
      <c r="F115" s="277">
        <f>F100/F135</f>
        <v>17.160510822510822</v>
      </c>
      <c r="G115" s="260">
        <f>F115*(1+G119)</f>
        <v>17.503721038961039</v>
      </c>
      <c r="H115" s="260">
        <f t="shared" ref="H115:P115" si="284">G115*(1+H119)</f>
        <v>17.840667668961039</v>
      </c>
      <c r="I115" s="260">
        <f t="shared" si="284"/>
        <v>18.170720020836818</v>
      </c>
      <c r="J115" s="260">
        <f t="shared" si="284"/>
        <v>18.493250301206672</v>
      </c>
      <c r="K115" s="260">
        <f t="shared" si="284"/>
        <v>18.807635556327185</v>
      </c>
      <c r="L115" s="260">
        <f t="shared" si="284"/>
        <v>19.113259634117505</v>
      </c>
      <c r="M115" s="260">
        <f t="shared" si="284"/>
        <v>19.409515158446329</v>
      </c>
      <c r="N115" s="260">
        <f t="shared" si="284"/>
        <v>19.695805507033413</v>
      </c>
      <c r="O115" s="260">
        <f t="shared" si="284"/>
        <v>19.971546784131881</v>
      </c>
      <c r="P115" s="260">
        <f t="shared" si="284"/>
        <v>20.23616977902163</v>
      </c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61"/>
      <c r="AE115" s="223"/>
      <c r="AF115" s="227"/>
      <c r="AG115" s="227"/>
      <c r="AH115" s="227"/>
      <c r="AI115" s="227"/>
      <c r="AJ115" s="227"/>
    </row>
    <row r="116" spans="1:36" ht="15.6">
      <c r="A116" s="281" t="s">
        <v>347</v>
      </c>
      <c r="B116" s="276">
        <f>B115*B$86</f>
        <v>2.1698459515525084</v>
      </c>
      <c r="C116" s="276">
        <f t="shared" ref="C116:P116" si="285">C115*C$86</f>
        <v>3.3617578960523837</v>
      </c>
      <c r="D116" s="276">
        <f t="shared" si="285"/>
        <v>3.9252027454992984</v>
      </c>
      <c r="E116" s="276">
        <f t="shared" si="285"/>
        <v>4.0805176811960511</v>
      </c>
      <c r="F116" s="276">
        <f t="shared" si="285"/>
        <v>4.1464474145939745</v>
      </c>
      <c r="G116" s="276">
        <f t="shared" si="285"/>
        <v>4.6156416679588741</v>
      </c>
      <c r="H116" s="276">
        <f t="shared" si="285"/>
        <v>5.0707256525541702</v>
      </c>
      <c r="I116" s="276">
        <f t="shared" si="285"/>
        <v>5.5007039118385013</v>
      </c>
      <c r="J116" s="276">
        <f t="shared" si="285"/>
        <v>5.8950978812045403</v>
      </c>
      <c r="K116" s="276">
        <f t="shared" si="285"/>
        <v>6.2441693582815567</v>
      </c>
      <c r="L116" s="276">
        <f t="shared" si="285"/>
        <v>6.5390403963868655</v>
      </c>
      <c r="M116" s="276">
        <f t="shared" si="285"/>
        <v>6.7717427428175041</v>
      </c>
      <c r="N116" s="276">
        <f t="shared" si="285"/>
        <v>6.935239940904049</v>
      </c>
      <c r="O116" s="276">
        <f t="shared" si="285"/>
        <v>7.0234683103242936</v>
      </c>
      <c r="P116" s="276">
        <f t="shared" si="285"/>
        <v>7.0314408383992379</v>
      </c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69"/>
      <c r="AE116" s="223"/>
      <c r="AF116" s="228"/>
      <c r="AG116" s="228"/>
      <c r="AH116" s="228"/>
      <c r="AI116" s="228"/>
      <c r="AJ116" s="228"/>
    </row>
    <row r="117" spans="1:36" ht="15.6">
      <c r="A117" s="281" t="s">
        <v>348</v>
      </c>
      <c r="B117" s="276">
        <f>B115*B$83</f>
        <v>6.942870557611398</v>
      </c>
      <c r="C117" s="276">
        <f t="shared" ref="C117:P117" si="286">C115*C$83</f>
        <v>9.1313955425017319</v>
      </c>
      <c r="D117" s="276">
        <f t="shared" si="286"/>
        <v>10.551861429348147</v>
      </c>
      <c r="E117" s="276">
        <f t="shared" si="286"/>
        <v>11.135024629371054</v>
      </c>
      <c r="F117" s="276">
        <f t="shared" si="286"/>
        <v>10.846957199608372</v>
      </c>
      <c r="G117" s="276">
        <f t="shared" si="286"/>
        <v>10.730316117674876</v>
      </c>
      <c r="H117" s="276">
        <f t="shared" si="286"/>
        <v>10.621975606743318</v>
      </c>
      <c r="I117" s="276">
        <f t="shared" si="286"/>
        <v>10.530521168381838</v>
      </c>
      <c r="J117" s="276">
        <f t="shared" si="286"/>
        <v>10.464091585437664</v>
      </c>
      <c r="K117" s="276">
        <f t="shared" si="286"/>
        <v>10.430209529934464</v>
      </c>
      <c r="L117" s="276">
        <f t="shared" si="286"/>
        <v>10.435697896630044</v>
      </c>
      <c r="M117" s="276">
        <f t="shared" si="286"/>
        <v>10.486653544401369</v>
      </c>
      <c r="N117" s="276">
        <f t="shared" si="286"/>
        <v>10.588442205928324</v>
      </c>
      <c r="O117" s="276">
        <f t="shared" si="286"/>
        <v>10.745675978274454</v>
      </c>
      <c r="P117" s="276">
        <f t="shared" si="286"/>
        <v>10.96213663257709</v>
      </c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61"/>
      <c r="AE117" s="223"/>
      <c r="AF117" s="227"/>
      <c r="AG117" s="227"/>
      <c r="AH117" s="227"/>
      <c r="AI117" s="227"/>
      <c r="AJ117" s="227"/>
    </row>
    <row r="118" spans="1:36" ht="15.6">
      <c r="A118" s="281" t="s">
        <v>349</v>
      </c>
      <c r="B118" s="276">
        <f>B115*B$89</f>
        <v>0.9078139948148729</v>
      </c>
      <c r="C118" s="276">
        <f t="shared" ref="C118:P118" si="287">C115*C$89</f>
        <v>1.20169410666552</v>
      </c>
      <c r="D118" s="276">
        <f t="shared" si="287"/>
        <v>1.7034331350162915</v>
      </c>
      <c r="E118" s="276">
        <f t="shared" si="287"/>
        <v>2.2083092876064128</v>
      </c>
      <c r="F118" s="276">
        <f t="shared" si="287"/>
        <v>2.1671062083084753</v>
      </c>
      <c r="G118" s="276">
        <f t="shared" si="287"/>
        <v>2.1577632533272881</v>
      </c>
      <c r="H118" s="276">
        <f t="shared" si="287"/>
        <v>2.1479664096635491</v>
      </c>
      <c r="I118" s="276">
        <f t="shared" si="287"/>
        <v>2.1394949406164789</v>
      </c>
      <c r="J118" s="276">
        <f t="shared" si="287"/>
        <v>2.134060834564468</v>
      </c>
      <c r="K118" s="276">
        <f t="shared" si="287"/>
        <v>2.1332566681111627</v>
      </c>
      <c r="L118" s="276">
        <f t="shared" si="287"/>
        <v>2.1385213411005948</v>
      </c>
      <c r="M118" s="276">
        <f t="shared" si="287"/>
        <v>2.1511188712274576</v>
      </c>
      <c r="N118" s="276">
        <f t="shared" si="287"/>
        <v>2.1721233602010397</v>
      </c>
      <c r="O118" s="276">
        <f t="shared" si="287"/>
        <v>2.2024024955331334</v>
      </c>
      <c r="P118" s="276">
        <f t="shared" si="287"/>
        <v>2.2425923080453027</v>
      </c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61"/>
      <c r="AE118" s="223"/>
      <c r="AF118" s="227"/>
      <c r="AG118" s="227"/>
      <c r="AH118" s="227"/>
      <c r="AI118" s="227"/>
      <c r="AJ118" s="227"/>
    </row>
    <row r="119" spans="1:36" ht="15.6" outlineLevel="1">
      <c r="A119" s="281" t="s">
        <v>346</v>
      </c>
      <c r="B119" s="242"/>
      <c r="C119" s="246">
        <f t="shared" ref="C119:F119" si="288">C115/B115-1</f>
        <v>0.36667889387512198</v>
      </c>
      <c r="D119" s="246">
        <f t="shared" si="288"/>
        <v>0.18809451627442608</v>
      </c>
      <c r="E119" s="246">
        <f t="shared" si="288"/>
        <v>7.0868071810195277E-2</v>
      </c>
      <c r="F119" s="246">
        <f t="shared" si="288"/>
        <v>-1.5113809606269846E-2</v>
      </c>
      <c r="G119" s="274">
        <v>0.02</v>
      </c>
      <c r="H119" s="246">
        <f t="shared" ref="H119:P129" si="289">G119+$S119</f>
        <v>1.925E-2</v>
      </c>
      <c r="I119" s="246">
        <f t="shared" si="289"/>
        <v>1.8499999999999999E-2</v>
      </c>
      <c r="J119" s="246">
        <f t="shared" si="289"/>
        <v>1.7749999999999998E-2</v>
      </c>
      <c r="K119" s="246">
        <f t="shared" si="289"/>
        <v>1.6999999999999998E-2</v>
      </c>
      <c r="L119" s="246">
        <f t="shared" si="289"/>
        <v>1.6249999999999997E-2</v>
      </c>
      <c r="M119" s="246">
        <f t="shared" si="289"/>
        <v>1.5499999999999996E-2</v>
      </c>
      <c r="N119" s="246">
        <f t="shared" si="289"/>
        <v>1.4749999999999996E-2</v>
      </c>
      <c r="O119" s="246">
        <f t="shared" si="289"/>
        <v>1.3999999999999995E-2</v>
      </c>
      <c r="P119" s="246">
        <f t="shared" si="289"/>
        <v>1.3249999999999994E-2</v>
      </c>
      <c r="Q119" s="223"/>
      <c r="R119" s="227" t="s">
        <v>274</v>
      </c>
      <c r="S119" s="282">
        <v>-7.5000000000000002E-4</v>
      </c>
      <c r="T119" s="508"/>
      <c r="U119" s="508"/>
      <c r="V119" s="508"/>
      <c r="W119" s="508"/>
      <c r="X119" s="508"/>
      <c r="Y119" s="508"/>
      <c r="Z119" s="508"/>
      <c r="AA119" s="508"/>
      <c r="AB119" s="508"/>
      <c r="AC119" s="508"/>
      <c r="AD119" s="261"/>
      <c r="AE119" s="227" t="s">
        <v>451</v>
      </c>
      <c r="AF119" s="227"/>
      <c r="AG119" s="227"/>
      <c r="AH119" s="227"/>
      <c r="AI119" s="227"/>
      <c r="AJ119" s="227"/>
    </row>
    <row r="120" spans="1:36" ht="15.6" outlineLevel="1">
      <c r="A120" s="250" t="s">
        <v>280</v>
      </c>
      <c r="B120" s="276">
        <f>B105/B138</f>
        <v>6.7656818181818181</v>
      </c>
      <c r="C120" s="276">
        <f>C105/C138</f>
        <v>7.4338857142857133</v>
      </c>
      <c r="D120" s="276">
        <f>D105/D138</f>
        <v>6.8851818181818185</v>
      </c>
      <c r="E120" s="277">
        <f>E105/E138</f>
        <v>7.5886614173228342</v>
      </c>
      <c r="F120" s="277">
        <f>F105/F138</f>
        <v>9.0154768211920526</v>
      </c>
      <c r="G120" s="260">
        <f>F120*(1+G124)</f>
        <v>10.579836756724717</v>
      </c>
      <c r="H120" s="260">
        <f t="shared" ref="H120:P120" si="290">G120*(1+H124)</f>
        <v>12.26223582315955</v>
      </c>
      <c r="I120" s="260">
        <f t="shared" si="290"/>
        <v>14.034366524211125</v>
      </c>
      <c r="J120" s="260">
        <f t="shared" si="290"/>
        <v>15.859106138323842</v>
      </c>
      <c r="K120" s="260">
        <f t="shared" si="290"/>
        <v>17.691140224111315</v>
      </c>
      <c r="L120" s="260">
        <f t="shared" si="290"/>
        <v>19.478288215759861</v>
      </c>
      <c r="M120" s="260">
        <f t="shared" si="290"/>
        <v>21.163537607810269</v>
      </c>
      <c r="N120" s="260">
        <f t="shared" si="290"/>
        <v>22.687722434684442</v>
      </c>
      <c r="O120" s="260">
        <f t="shared" si="290"/>
        <v>23.992706130314208</v>
      </c>
      <c r="P120" s="260">
        <f t="shared" si="290"/>
        <v>25.024857438272061</v>
      </c>
      <c r="Q120" s="223"/>
      <c r="R120" s="26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61"/>
      <c r="AE120" s="261"/>
      <c r="AF120" s="227"/>
      <c r="AG120" s="227"/>
      <c r="AH120" s="227"/>
      <c r="AI120" s="227"/>
      <c r="AJ120" s="227"/>
    </row>
    <row r="121" spans="1:36" ht="15.6" outlineLevel="1">
      <c r="A121" s="281" t="s">
        <v>347</v>
      </c>
      <c r="B121" s="276">
        <f>B120*B$86</f>
        <v>1.4650409274084999</v>
      </c>
      <c r="C121" s="276">
        <f t="shared" ref="C121:P121" si="291">C120*C$86</f>
        <v>1.8248413438581443</v>
      </c>
      <c r="D121" s="276">
        <f t="shared" si="291"/>
        <v>1.6609987815597207</v>
      </c>
      <c r="E121" s="276">
        <f t="shared" si="291"/>
        <v>1.7771998869206469</v>
      </c>
      <c r="F121" s="276">
        <f t="shared" si="291"/>
        <v>2.1783850692560067</v>
      </c>
      <c r="G121" s="276">
        <f t="shared" si="291"/>
        <v>2.7898488136234616</v>
      </c>
      <c r="H121" s="276">
        <f t="shared" si="291"/>
        <v>3.4852077792100267</v>
      </c>
      <c r="I121" s="276">
        <f t="shared" si="291"/>
        <v>4.2485325155732712</v>
      </c>
      <c r="J121" s="276">
        <f t="shared" si="291"/>
        <v>5.055411107896516</v>
      </c>
      <c r="K121" s="276">
        <f t="shared" si="291"/>
        <v>5.8734908686220004</v>
      </c>
      <c r="L121" s="276">
        <f t="shared" si="291"/>
        <v>6.6639242041144833</v>
      </c>
      <c r="M121" s="276">
        <f t="shared" si="291"/>
        <v>7.3836997492268299</v>
      </c>
      <c r="N121" s="276">
        <f t="shared" si="291"/>
        <v>7.9887465755579399</v>
      </c>
      <c r="O121" s="276">
        <f t="shared" si="291"/>
        <v>8.4376044082411372</v>
      </c>
      <c r="P121" s="276">
        <f t="shared" si="291"/>
        <v>8.6953611522373961</v>
      </c>
      <c r="Q121" s="223"/>
      <c r="R121" s="26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61"/>
      <c r="AE121" s="261"/>
      <c r="AF121" s="227"/>
      <c r="AG121" s="227"/>
      <c r="AH121" s="227"/>
      <c r="AI121" s="227"/>
      <c r="AJ121" s="227"/>
    </row>
    <row r="122" spans="1:36" ht="15.6" outlineLevel="1">
      <c r="A122" s="281" t="s">
        <v>348</v>
      </c>
      <c r="B122" s="276">
        <f>B120*B$83</f>
        <v>4.6877012229013193</v>
      </c>
      <c r="C122" s="276">
        <f t="shared" ref="C122:P122" si="292">C120*C$83</f>
        <v>4.9567365135503731</v>
      </c>
      <c r="D122" s="276">
        <f t="shared" si="292"/>
        <v>4.4651525319120404</v>
      </c>
      <c r="E122" s="276">
        <f t="shared" si="292"/>
        <v>4.8496700806786857</v>
      </c>
      <c r="F122" s="276">
        <f t="shared" si="292"/>
        <v>5.6985769377711</v>
      </c>
      <c r="G122" s="276">
        <f t="shared" si="292"/>
        <v>6.4857633768477134</v>
      </c>
      <c r="H122" s="276">
        <f t="shared" si="292"/>
        <v>7.3006892014664126</v>
      </c>
      <c r="I122" s="276">
        <f t="shared" si="292"/>
        <v>8.1333702571258115</v>
      </c>
      <c r="J122" s="276">
        <f t="shared" si="292"/>
        <v>8.9736058503338985</v>
      </c>
      <c r="K122" s="276">
        <f t="shared" si="292"/>
        <v>9.811031206357919</v>
      </c>
      <c r="L122" s="276">
        <f t="shared" si="292"/>
        <v>10.635000792869432</v>
      </c>
      <c r="M122" s="276">
        <f t="shared" si="292"/>
        <v>11.434324085650184</v>
      </c>
      <c r="N122" s="276">
        <f t="shared" si="292"/>
        <v>12.196893277505907</v>
      </c>
      <c r="O122" s="276">
        <f t="shared" si="292"/>
        <v>12.909257790846789</v>
      </c>
      <c r="P122" s="276">
        <f t="shared" si="292"/>
        <v>13.556216885148334</v>
      </c>
      <c r="Q122" s="223"/>
      <c r="R122" s="26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61"/>
      <c r="AE122" s="261"/>
      <c r="AF122" s="227"/>
      <c r="AG122" s="227"/>
      <c r="AH122" s="227"/>
      <c r="AI122" s="227"/>
      <c r="AJ122" s="227"/>
    </row>
    <row r="123" spans="1:36" ht="15.6" outlineLevel="1">
      <c r="A123" s="281" t="s">
        <v>349</v>
      </c>
      <c r="B123" s="276">
        <f>B120*B$89</f>
        <v>0.61293966787199905</v>
      </c>
      <c r="C123" s="276">
        <f t="shared" ref="C123:P123" si="293">C120*C$89</f>
        <v>0.65230785687719539</v>
      </c>
      <c r="D123" s="276">
        <f t="shared" si="293"/>
        <v>0.72082909984070298</v>
      </c>
      <c r="E123" s="276">
        <f t="shared" si="293"/>
        <v>0.96179144972350161</v>
      </c>
      <c r="F123" s="276">
        <f t="shared" si="293"/>
        <v>1.1385148141649459</v>
      </c>
      <c r="G123" s="276">
        <f t="shared" si="293"/>
        <v>1.3042245662535414</v>
      </c>
      <c r="H123" s="276">
        <f t="shared" si="293"/>
        <v>1.4763388424831094</v>
      </c>
      <c r="I123" s="276">
        <f t="shared" si="293"/>
        <v>1.6524637515120422</v>
      </c>
      <c r="J123" s="276">
        <f t="shared" si="293"/>
        <v>1.8300891800934278</v>
      </c>
      <c r="K123" s="276">
        <f t="shared" si="293"/>
        <v>2.0066181491313952</v>
      </c>
      <c r="L123" s="276">
        <f t="shared" si="293"/>
        <v>2.1793632187759462</v>
      </c>
      <c r="M123" s="276">
        <f t="shared" si="293"/>
        <v>2.345513772933256</v>
      </c>
      <c r="N123" s="276">
        <f t="shared" si="293"/>
        <v>2.5020825816205945</v>
      </c>
      <c r="O123" s="276">
        <f t="shared" si="293"/>
        <v>2.6458439312262825</v>
      </c>
      <c r="P123" s="276">
        <f t="shared" si="293"/>
        <v>2.7732794008863317</v>
      </c>
      <c r="Q123" s="223"/>
      <c r="R123" s="26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61"/>
      <c r="AE123" s="261"/>
      <c r="AF123" s="227"/>
      <c r="AG123" s="227"/>
      <c r="AH123" s="227"/>
      <c r="AI123" s="227"/>
      <c r="AJ123" s="227"/>
    </row>
    <row r="124" spans="1:36" ht="15.6" outlineLevel="1">
      <c r="A124" s="281" t="s">
        <v>346</v>
      </c>
      <c r="B124" s="242"/>
      <c r="C124" s="246">
        <f t="shared" ref="C124:F124" si="294">C120/B120-1</f>
        <v>9.8763718729454775E-2</v>
      </c>
      <c r="D124" s="246">
        <f t="shared" si="294"/>
        <v>-7.381118262948938E-2</v>
      </c>
      <c r="E124" s="246">
        <f t="shared" si="294"/>
        <v>0.10217298797881047</v>
      </c>
      <c r="F124" s="246">
        <f t="shared" si="294"/>
        <v>0.18801937857079642</v>
      </c>
      <c r="G124" s="246">
        <f>F124+$S124</f>
        <v>0.17351937857079641</v>
      </c>
      <c r="H124" s="246">
        <f t="shared" si="289"/>
        <v>0.1590193785707964</v>
      </c>
      <c r="I124" s="246">
        <f t="shared" si="289"/>
        <v>0.14451937857079639</v>
      </c>
      <c r="J124" s="246">
        <f t="shared" si="289"/>
        <v>0.13001937857079637</v>
      </c>
      <c r="K124" s="246">
        <f t="shared" si="289"/>
        <v>0.11551937857079637</v>
      </c>
      <c r="L124" s="246">
        <f t="shared" si="289"/>
        <v>0.10101937857079638</v>
      </c>
      <c r="M124" s="246">
        <f t="shared" si="289"/>
        <v>8.6519378570796376E-2</v>
      </c>
      <c r="N124" s="246">
        <f t="shared" si="289"/>
        <v>7.2019378570796377E-2</v>
      </c>
      <c r="O124" s="246">
        <f t="shared" si="289"/>
        <v>5.7519378570796378E-2</v>
      </c>
      <c r="P124" s="246">
        <f t="shared" si="289"/>
        <v>4.3019378570796379E-2</v>
      </c>
      <c r="Q124" s="223"/>
      <c r="R124" s="227" t="s">
        <v>274</v>
      </c>
      <c r="S124" s="282">
        <v>-1.4500000000000001E-2</v>
      </c>
      <c r="T124" s="508"/>
      <c r="U124" s="508"/>
      <c r="V124" s="508"/>
      <c r="W124" s="508"/>
      <c r="X124" s="508"/>
      <c r="Y124" s="508"/>
      <c r="Z124" s="508"/>
      <c r="AA124" s="508"/>
      <c r="AB124" s="508"/>
      <c r="AC124" s="508"/>
      <c r="AD124" s="261"/>
      <c r="AE124" s="227" t="s">
        <v>338</v>
      </c>
      <c r="AF124" s="227"/>
      <c r="AG124" s="227"/>
      <c r="AH124" s="227"/>
      <c r="AI124" s="227"/>
      <c r="AJ124" s="227"/>
    </row>
    <row r="125" spans="1:36" ht="15.6" outlineLevel="1">
      <c r="A125" s="250" t="s">
        <v>303</v>
      </c>
      <c r="B125" s="275">
        <f>B108/(B152+B165)</f>
        <v>3.2644900000000003</v>
      </c>
      <c r="C125" s="275">
        <f>C108/(C152+C165)</f>
        <v>3.7293931623931624</v>
      </c>
      <c r="D125" s="275">
        <f>D108/(D152+D165)</f>
        <v>4.4630000000000001</v>
      </c>
      <c r="E125" s="275">
        <f>E108/(E152+E165)</f>
        <v>7.0128150684931505</v>
      </c>
      <c r="F125" s="275">
        <f>F108/(F152+F165)</f>
        <v>8.4326818181818179</v>
      </c>
      <c r="G125" s="260">
        <f>F125*(1+G129)</f>
        <v>10.000886111024343</v>
      </c>
      <c r="H125" s="260">
        <f t="shared" ref="H125:P125" si="295">G125*(1+H129)</f>
        <v>11.695710728727716</v>
      </c>
      <c r="I125" s="260">
        <f t="shared" si="295"/>
        <v>13.484773717216441</v>
      </c>
      <c r="J125" s="260">
        <f t="shared" si="295"/>
        <v>15.325006333795246</v>
      </c>
      <c r="K125" s="260">
        <f t="shared" si="295"/>
        <v>17.163508189391312</v>
      </c>
      <c r="L125" s="260">
        <f t="shared" si="295"/>
        <v>18.939372530240625</v>
      </c>
      <c r="M125" s="260">
        <f t="shared" si="295"/>
        <v>20.586481370485252</v>
      </c>
      <c r="N125" s="260">
        <f t="shared" si="295"/>
        <v>22.037158115710433</v>
      </c>
      <c r="O125" s="260">
        <f t="shared" si="295"/>
        <v>23.226447235889523</v>
      </c>
      <c r="P125" s="260">
        <f t="shared" si="295"/>
        <v>24.096682871945859</v>
      </c>
      <c r="Q125" s="223"/>
      <c r="R125" s="223"/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61"/>
      <c r="AE125" s="223"/>
      <c r="AF125" s="227"/>
      <c r="AG125" s="227"/>
      <c r="AH125" s="227"/>
      <c r="AI125" s="227"/>
      <c r="AJ125" s="227"/>
    </row>
    <row r="126" spans="1:36" ht="15.6" outlineLevel="1">
      <c r="A126" s="281" t="s">
        <v>347</v>
      </c>
      <c r="B126" s="276">
        <f>B125*B$86</f>
        <v>0.7068927545873025</v>
      </c>
      <c r="C126" s="276">
        <f t="shared" ref="C126:P126" si="296">C125*C$86</f>
        <v>0.91547692442441941</v>
      </c>
      <c r="D126" s="276">
        <f t="shared" si="296"/>
        <v>1.0766654763604495</v>
      </c>
      <c r="E126" s="276">
        <f t="shared" si="296"/>
        <v>1.6423415753233404</v>
      </c>
      <c r="F126" s="276">
        <f t="shared" si="296"/>
        <v>2.0375659025969282</v>
      </c>
      <c r="G126" s="276">
        <f t="shared" si="296"/>
        <v>2.637182490957652</v>
      </c>
      <c r="H126" s="276">
        <f t="shared" si="296"/>
        <v>3.3241883945964652</v>
      </c>
      <c r="I126" s="276">
        <f t="shared" si="296"/>
        <v>4.0821578589890937</v>
      </c>
      <c r="J126" s="276">
        <f t="shared" si="296"/>
        <v>4.8851559837433083</v>
      </c>
      <c r="K126" s="276">
        <f t="shared" si="296"/>
        <v>5.6983160693348021</v>
      </c>
      <c r="L126" s="276">
        <f t="shared" si="296"/>
        <v>6.4795500311415797</v>
      </c>
      <c r="M126" s="276">
        <f t="shared" si="296"/>
        <v>7.1823718770258198</v>
      </c>
      <c r="N126" s="276">
        <f t="shared" si="296"/>
        <v>7.759671423111679</v>
      </c>
      <c r="O126" s="276">
        <f t="shared" si="296"/>
        <v>8.1681312862708371</v>
      </c>
      <c r="P126" s="276">
        <f t="shared" si="296"/>
        <v>8.3728493023123516</v>
      </c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61"/>
      <c r="AE126" s="223"/>
      <c r="AF126" s="227"/>
      <c r="AG126" s="227"/>
      <c r="AH126" s="227"/>
      <c r="AI126" s="227"/>
      <c r="AJ126" s="227"/>
    </row>
    <row r="127" spans="1:36" ht="15.6" outlineLevel="1">
      <c r="A127" s="281" t="s">
        <v>348</v>
      </c>
      <c r="B127" s="276">
        <f>B125*B$83</f>
        <v>2.261849459728448</v>
      </c>
      <c r="C127" s="276">
        <f t="shared" ref="C127:P127" si="297">C125*C$83</f>
        <v>2.4866698213957514</v>
      </c>
      <c r="D127" s="276">
        <f t="shared" si="297"/>
        <v>2.8943281784221426</v>
      </c>
      <c r="E127" s="276">
        <f t="shared" si="297"/>
        <v>4.481665151296478</v>
      </c>
      <c r="F127" s="276">
        <f t="shared" si="297"/>
        <v>5.3301990660876326</v>
      </c>
      <c r="G127" s="276">
        <f t="shared" si="297"/>
        <v>6.1308489314524079</v>
      </c>
      <c r="H127" s="276">
        <f t="shared" si="297"/>
        <v>6.9633915259913932</v>
      </c>
      <c r="I127" s="276">
        <f t="shared" si="297"/>
        <v>7.8148634130705821</v>
      </c>
      <c r="J127" s="276">
        <f t="shared" si="297"/>
        <v>8.6713945473274752</v>
      </c>
      <c r="K127" s="276">
        <f t="shared" si="297"/>
        <v>9.5184206514397651</v>
      </c>
      <c r="L127" s="276">
        <f t="shared" si="297"/>
        <v>10.340756828548708</v>
      </c>
      <c r="M127" s="276">
        <f t="shared" si="297"/>
        <v>11.122549742650691</v>
      </c>
      <c r="N127" s="276">
        <f t="shared" si="297"/>
        <v>11.847150653867816</v>
      </c>
      <c r="O127" s="276">
        <f t="shared" si="297"/>
        <v>12.496972759348845</v>
      </c>
      <c r="P127" s="276">
        <f t="shared" si="297"/>
        <v>13.05341539029733</v>
      </c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61"/>
      <c r="AE127" s="223"/>
      <c r="AF127" s="227"/>
      <c r="AG127" s="227"/>
      <c r="AH127" s="227"/>
      <c r="AI127" s="227"/>
      <c r="AJ127" s="227"/>
    </row>
    <row r="128" spans="1:36" ht="15.6" outlineLevel="1">
      <c r="A128" s="281" t="s">
        <v>349</v>
      </c>
      <c r="B128" s="276">
        <f>B125*B$89</f>
        <v>0.29574778568424992</v>
      </c>
      <c r="C128" s="276">
        <f t="shared" ref="C128:P128" si="298">C125*C$89</f>
        <v>0.32724641657299114</v>
      </c>
      <c r="D128" s="276">
        <f t="shared" si="298"/>
        <v>0.46724405506528688</v>
      </c>
      <c r="E128" s="276">
        <f t="shared" si="298"/>
        <v>0.88880834187333291</v>
      </c>
      <c r="F128" s="276">
        <f t="shared" si="298"/>
        <v>1.0649168494972576</v>
      </c>
      <c r="G128" s="276">
        <f t="shared" si="298"/>
        <v>1.2328546886142824</v>
      </c>
      <c r="H128" s="276">
        <f t="shared" si="298"/>
        <v>1.4081308081398569</v>
      </c>
      <c r="I128" s="276">
        <f t="shared" si="298"/>
        <v>1.5877524451567653</v>
      </c>
      <c r="J128" s="276">
        <f t="shared" si="298"/>
        <v>1.7684558027244619</v>
      </c>
      <c r="K128" s="276">
        <f t="shared" si="298"/>
        <v>1.9467714686167439</v>
      </c>
      <c r="L128" s="276">
        <f t="shared" si="298"/>
        <v>2.1190656705503392</v>
      </c>
      <c r="M128" s="276">
        <f t="shared" si="298"/>
        <v>2.2815597508087428</v>
      </c>
      <c r="N128" s="276">
        <f t="shared" si="298"/>
        <v>2.4303360387309372</v>
      </c>
      <c r="O128" s="276">
        <f t="shared" si="298"/>
        <v>2.5613431902698407</v>
      </c>
      <c r="P128" s="276">
        <f t="shared" si="298"/>
        <v>2.6704181793361803</v>
      </c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61"/>
      <c r="AE128" s="223"/>
      <c r="AF128" s="227"/>
      <c r="AG128" s="227"/>
      <c r="AH128" s="227"/>
      <c r="AI128" s="227"/>
      <c r="AJ128" s="227"/>
    </row>
    <row r="129" spans="1:36" ht="15.6" outlineLevel="1">
      <c r="A129" s="281" t="s">
        <v>346</v>
      </c>
      <c r="B129" s="242"/>
      <c r="C129" s="246">
        <f t="shared" ref="C129:F129" si="299">C125/B125-1</f>
        <v>0.14241218762905139</v>
      </c>
      <c r="D129" s="246">
        <f t="shared" si="299"/>
        <v>0.19670943922042272</v>
      </c>
      <c r="E129" s="246">
        <f t="shared" si="299"/>
        <v>0.57132311639998878</v>
      </c>
      <c r="F129" s="246">
        <f t="shared" si="299"/>
        <v>0.20246744507320291</v>
      </c>
      <c r="G129" s="246">
        <f>F129+$S129</f>
        <v>0.1859674450732029</v>
      </c>
      <c r="H129" s="246">
        <f t="shared" si="289"/>
        <v>0.16946744507320288</v>
      </c>
      <c r="I129" s="246">
        <f t="shared" si="289"/>
        <v>0.15296744507320287</v>
      </c>
      <c r="J129" s="246">
        <f t="shared" si="289"/>
        <v>0.13646744507320285</v>
      </c>
      <c r="K129" s="246">
        <f t="shared" si="289"/>
        <v>0.11996744507320285</v>
      </c>
      <c r="L129" s="246">
        <f t="shared" si="289"/>
        <v>0.10346744507320285</v>
      </c>
      <c r="M129" s="246">
        <f t="shared" si="289"/>
        <v>8.6967445073202851E-2</v>
      </c>
      <c r="N129" s="246">
        <f t="shared" si="289"/>
        <v>7.046744507320285E-2</v>
      </c>
      <c r="O129" s="246">
        <f t="shared" si="289"/>
        <v>5.3967445073202849E-2</v>
      </c>
      <c r="P129" s="246">
        <f t="shared" si="289"/>
        <v>3.7467445073202849E-2</v>
      </c>
      <c r="Q129" s="223"/>
      <c r="R129" s="227" t="s">
        <v>274</v>
      </c>
      <c r="S129" s="282">
        <v>-1.6500000000000001E-2</v>
      </c>
      <c r="T129" s="508"/>
      <c r="U129" s="508"/>
      <c r="V129" s="508"/>
      <c r="W129" s="508"/>
      <c r="X129" s="508"/>
      <c r="Y129" s="508"/>
      <c r="Z129" s="508"/>
      <c r="AA129" s="508"/>
      <c r="AB129" s="508"/>
      <c r="AC129" s="508"/>
      <c r="AD129" s="261"/>
      <c r="AE129" s="227" t="s">
        <v>452</v>
      </c>
      <c r="AF129" s="227"/>
      <c r="AG129" s="227"/>
      <c r="AH129" s="227"/>
      <c r="AI129" s="227"/>
      <c r="AJ129" s="227"/>
    </row>
    <row r="130" spans="1:36" ht="15.6" outlineLevel="1">
      <c r="A130" s="226"/>
      <c r="B130" s="241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61"/>
      <c r="AE130" s="223"/>
      <c r="AF130" s="227"/>
      <c r="AG130" s="227"/>
      <c r="AH130" s="227"/>
      <c r="AI130" s="227"/>
      <c r="AJ130" s="227"/>
    </row>
    <row r="131" spans="1:36" ht="15.6" outlineLevel="1">
      <c r="A131" s="238" t="s">
        <v>275</v>
      </c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23"/>
      <c r="R131" s="223"/>
      <c r="S131" s="223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61"/>
      <c r="AE131" s="223"/>
      <c r="AF131" s="227"/>
      <c r="AG131" s="227"/>
      <c r="AH131" s="227"/>
      <c r="AI131" s="227"/>
      <c r="AJ131" s="227"/>
    </row>
    <row r="132" spans="1:36" ht="15.6" outlineLevel="1">
      <c r="A132" s="235" t="s">
        <v>276</v>
      </c>
      <c r="B132" s="244">
        <v>315</v>
      </c>
      <c r="C132" s="242">
        <v>324</v>
      </c>
      <c r="D132" s="242">
        <v>350</v>
      </c>
      <c r="E132" s="242">
        <v>367</v>
      </c>
      <c r="F132" s="242">
        <v>374</v>
      </c>
      <c r="G132" s="242">
        <f>F132*(1+G$45)</f>
        <v>393.18415068493147</v>
      </c>
      <c r="H132" s="242">
        <f t="shared" ref="H132:P132" si="300">G132*(1+H$45)</f>
        <v>411.97619865396882</v>
      </c>
      <c r="I132" s="242">
        <f t="shared" si="300"/>
        <v>430.22448685051143</v>
      </c>
      <c r="J132" s="242">
        <f t="shared" si="300"/>
        <v>447.77528851956379</v>
      </c>
      <c r="K132" s="242">
        <f t="shared" si="300"/>
        <v>464.47485321811871</v>
      </c>
      <c r="L132" s="242">
        <f t="shared" si="300"/>
        <v>480.17155818920219</v>
      </c>
      <c r="M132" s="242">
        <f t="shared" si="300"/>
        <v>494.71812532530384</v>
      </c>
      <c r="N132" s="242">
        <f t="shared" si="300"/>
        <v>507.97386029977361</v>
      </c>
      <c r="O132" s="242">
        <f t="shared" si="300"/>
        <v>519.80686782634564</v>
      </c>
      <c r="P132" s="242">
        <f t="shared" si="300"/>
        <v>530.09619555249731</v>
      </c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61"/>
      <c r="AE132" s="223"/>
      <c r="AF132" s="227"/>
      <c r="AG132" s="227"/>
      <c r="AH132" s="227"/>
      <c r="AI132" s="227"/>
      <c r="AJ132" s="227"/>
    </row>
    <row r="133" spans="1:36" ht="15.6" outlineLevel="1">
      <c r="A133" s="236" t="s">
        <v>277</v>
      </c>
      <c r="B133" s="242">
        <v>62</v>
      </c>
      <c r="C133" s="242">
        <v>63</v>
      </c>
      <c r="D133" s="242">
        <v>69</v>
      </c>
      <c r="E133" s="242">
        <v>71</v>
      </c>
      <c r="F133" s="242">
        <v>71</v>
      </c>
      <c r="G133" s="242">
        <f t="shared" ref="G133:P134" si="301">F133*(1+G$45)</f>
        <v>74.641910958904106</v>
      </c>
      <c r="H133" s="242">
        <f t="shared" si="301"/>
        <v>78.209385305967345</v>
      </c>
      <c r="I133" s="242">
        <f t="shared" si="301"/>
        <v>81.673632530444678</v>
      </c>
      <c r="J133" s="242">
        <f t="shared" si="301"/>
        <v>85.005469210933228</v>
      </c>
      <c r="K133" s="242">
        <f t="shared" si="301"/>
        <v>88.175707429108101</v>
      </c>
      <c r="L133" s="242">
        <f t="shared" si="301"/>
        <v>91.155563185650692</v>
      </c>
      <c r="M133" s="242">
        <f t="shared" si="301"/>
        <v>93.917077267637907</v>
      </c>
      <c r="N133" s="242">
        <f t="shared" si="301"/>
        <v>96.433540324288586</v>
      </c>
      <c r="O133" s="242">
        <f t="shared" si="301"/>
        <v>98.679913410883827</v>
      </c>
      <c r="P133" s="242">
        <f t="shared" si="301"/>
        <v>100.63323498456504</v>
      </c>
      <c r="Q133" s="223"/>
      <c r="R133" s="223"/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61"/>
      <c r="AE133" s="223"/>
      <c r="AF133" s="227"/>
      <c r="AG133" s="227"/>
      <c r="AH133" s="227"/>
      <c r="AI133" s="227"/>
      <c r="AJ133" s="227"/>
    </row>
    <row r="134" spans="1:36" ht="15.6" outlineLevel="1">
      <c r="A134" s="236" t="s">
        <v>278</v>
      </c>
      <c r="B134" s="242">
        <v>0</v>
      </c>
      <c r="C134" s="242">
        <v>0</v>
      </c>
      <c r="D134" s="242">
        <v>0</v>
      </c>
      <c r="E134" s="242">
        <v>0</v>
      </c>
      <c r="F134" s="242">
        <v>17</v>
      </c>
      <c r="G134" s="242">
        <f t="shared" si="301"/>
        <v>17.872006849315067</v>
      </c>
      <c r="H134" s="242">
        <f t="shared" si="301"/>
        <v>18.726190847907674</v>
      </c>
      <c r="I134" s="242">
        <f t="shared" si="301"/>
        <v>19.555658493205065</v>
      </c>
      <c r="J134" s="242">
        <f t="shared" si="301"/>
        <v>20.353422205434718</v>
      </c>
      <c r="K134" s="242">
        <f t="shared" si="301"/>
        <v>21.112493328096306</v>
      </c>
      <c r="L134" s="242">
        <f t="shared" si="301"/>
        <v>21.825979917691011</v>
      </c>
      <c r="M134" s="242">
        <f t="shared" si="301"/>
        <v>22.487187514786541</v>
      </c>
      <c r="N134" s="242">
        <f t="shared" si="301"/>
        <v>23.089720922716985</v>
      </c>
      <c r="O134" s="242">
        <f t="shared" si="301"/>
        <v>23.627584901197533</v>
      </c>
      <c r="P134" s="242">
        <f t="shared" si="301"/>
        <v>24.095281616022611</v>
      </c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61"/>
      <c r="AE134" s="223"/>
      <c r="AF134" s="227"/>
      <c r="AG134" s="227"/>
      <c r="AH134" s="227"/>
      <c r="AI134" s="227"/>
      <c r="AJ134" s="227"/>
    </row>
    <row r="135" spans="1:36" ht="15.6">
      <c r="A135" s="239" t="s">
        <v>279</v>
      </c>
      <c r="B135" s="245">
        <f>SUM(B132:B134)</f>
        <v>377</v>
      </c>
      <c r="C135" s="245">
        <f t="shared" ref="C135:P135" si="302">SUM(C132:C134)</f>
        <v>387</v>
      </c>
      <c r="D135" s="245">
        <f t="shared" si="302"/>
        <v>419</v>
      </c>
      <c r="E135" s="245">
        <f t="shared" si="302"/>
        <v>438</v>
      </c>
      <c r="F135" s="245">
        <f t="shared" si="302"/>
        <v>462</v>
      </c>
      <c r="G135" s="245">
        <f t="shared" si="302"/>
        <v>485.69806849315069</v>
      </c>
      <c r="H135" s="245">
        <f t="shared" si="302"/>
        <v>508.91177480784381</v>
      </c>
      <c r="I135" s="245">
        <f t="shared" si="302"/>
        <v>531.45377787416123</v>
      </c>
      <c r="J135" s="245">
        <f t="shared" si="302"/>
        <v>553.1341799359318</v>
      </c>
      <c r="K135" s="245">
        <f t="shared" si="302"/>
        <v>573.76305397532315</v>
      </c>
      <c r="L135" s="245">
        <f t="shared" si="302"/>
        <v>593.15310129254385</v>
      </c>
      <c r="M135" s="245">
        <f t="shared" si="302"/>
        <v>611.12239010772828</v>
      </c>
      <c r="N135" s="245">
        <f t="shared" si="302"/>
        <v>627.49712154677923</v>
      </c>
      <c r="O135" s="245">
        <f t="shared" si="302"/>
        <v>642.11436613842704</v>
      </c>
      <c r="P135" s="245">
        <f t="shared" si="302"/>
        <v>654.82471215308499</v>
      </c>
      <c r="Q135" s="223"/>
      <c r="R135" s="223"/>
      <c r="S135" s="223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61"/>
      <c r="AE135" s="223"/>
      <c r="AF135" s="227"/>
      <c r="AG135" s="227"/>
      <c r="AH135" s="227"/>
      <c r="AI135" s="227"/>
      <c r="AJ135" s="227"/>
    </row>
    <row r="136" spans="1:36" ht="15.6">
      <c r="A136" s="250" t="s">
        <v>336</v>
      </c>
      <c r="B136" s="242"/>
      <c r="C136" s="246">
        <f t="shared" ref="C136:F136" si="303">C135/B135-1</f>
        <v>2.6525198938992078E-2</v>
      </c>
      <c r="D136" s="246">
        <f t="shared" si="303"/>
        <v>8.2687338501292063E-2</v>
      </c>
      <c r="E136" s="246">
        <f t="shared" si="303"/>
        <v>4.5346062052505909E-2</v>
      </c>
      <c r="F136" s="246">
        <f t="shared" si="303"/>
        <v>5.4794520547945202E-2</v>
      </c>
      <c r="G136" s="246">
        <f>F136+$S136</f>
        <v>5.1294520547945199E-2</v>
      </c>
      <c r="H136" s="246">
        <f t="shared" ref="H136:P136" si="304">G136+$S136</f>
        <v>4.7794520547945196E-2</v>
      </c>
      <c r="I136" s="246">
        <f t="shared" si="304"/>
        <v>4.4294520547945193E-2</v>
      </c>
      <c r="J136" s="246">
        <f t="shared" si="304"/>
        <v>4.079452054794519E-2</v>
      </c>
      <c r="K136" s="246">
        <f t="shared" si="304"/>
        <v>3.7294520547945187E-2</v>
      </c>
      <c r="L136" s="246">
        <f t="shared" si="304"/>
        <v>3.3794520547945184E-2</v>
      </c>
      <c r="M136" s="246">
        <f t="shared" si="304"/>
        <v>3.0294520547945184E-2</v>
      </c>
      <c r="N136" s="246">
        <f t="shared" si="304"/>
        <v>2.6794520547945185E-2</v>
      </c>
      <c r="O136" s="246">
        <f t="shared" si="304"/>
        <v>2.3294520547945185E-2</v>
      </c>
      <c r="P136" s="246">
        <f t="shared" si="304"/>
        <v>1.9794520547945185E-2</v>
      </c>
      <c r="Q136" s="223"/>
      <c r="R136" s="227" t="s">
        <v>274</v>
      </c>
      <c r="S136" s="282">
        <v>-3.5000000000000001E-3</v>
      </c>
      <c r="T136" s="508"/>
      <c r="U136" s="508"/>
      <c r="V136" s="508"/>
      <c r="W136" s="508"/>
      <c r="X136" s="508"/>
      <c r="Y136" s="508"/>
      <c r="Z136" s="508"/>
      <c r="AA136" s="508"/>
      <c r="AB136" s="508"/>
      <c r="AC136" s="508"/>
      <c r="AD136" s="261"/>
      <c r="AE136" s="227" t="s">
        <v>339</v>
      </c>
      <c r="AF136" s="227"/>
      <c r="AG136" s="227"/>
      <c r="AH136" s="227"/>
      <c r="AI136" s="227"/>
      <c r="AJ136" s="227"/>
    </row>
    <row r="137" spans="1:36" ht="15.6">
      <c r="A137" s="223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61"/>
      <c r="AE137" s="223"/>
      <c r="AF137" s="227"/>
      <c r="AG137" s="227"/>
      <c r="AH137" s="227"/>
      <c r="AI137" s="227"/>
      <c r="AJ137" s="227"/>
    </row>
    <row r="138" spans="1:36" ht="15.6">
      <c r="A138" s="223" t="s">
        <v>280</v>
      </c>
      <c r="B138" s="242">
        <v>44</v>
      </c>
      <c r="C138" s="242">
        <v>70</v>
      </c>
      <c r="D138" s="242">
        <v>99</v>
      </c>
      <c r="E138" s="242">
        <v>127</v>
      </c>
      <c r="F138" s="242">
        <v>151</v>
      </c>
      <c r="G138" s="242">
        <f t="shared" ref="G138:P138" si="305">F138*(1+G139)</f>
        <v>176.74193307086617</v>
      </c>
      <c r="H138" s="242">
        <f t="shared" si="305"/>
        <v>203.60253189134485</v>
      </c>
      <c r="I138" s="242">
        <f t="shared" si="305"/>
        <v>230.77866039021208</v>
      </c>
      <c r="J138" s="242">
        <f t="shared" si="305"/>
        <v>257.31275487066779</v>
      </c>
      <c r="K138" s="242">
        <f t="shared" si="305"/>
        <v>282.13735746163519</v>
      </c>
      <c r="L138" s="242">
        <f t="shared" si="305"/>
        <v>304.13740668165548</v>
      </c>
      <c r="M138" s="242">
        <f t="shared" si="305"/>
        <v>322.2263980310247</v>
      </c>
      <c r="N138" s="242">
        <f t="shared" si="305"/>
        <v>335.43006870309921</v>
      </c>
      <c r="O138" s="242">
        <f t="shared" si="305"/>
        <v>342.96932170398901</v>
      </c>
      <c r="P138" s="242">
        <f t="shared" si="305"/>
        <v>344.33309735328442</v>
      </c>
      <c r="Q138" s="223"/>
      <c r="R138" s="26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61"/>
      <c r="AE138" s="261"/>
      <c r="AF138" s="227"/>
      <c r="AG138" s="227"/>
      <c r="AH138" s="227"/>
      <c r="AI138" s="227"/>
      <c r="AJ138" s="227"/>
    </row>
    <row r="139" spans="1:36" ht="15.6">
      <c r="A139" s="250" t="s">
        <v>336</v>
      </c>
      <c r="B139" s="242"/>
      <c r="C139" s="246">
        <f>C138/B138-1</f>
        <v>0.59090909090909083</v>
      </c>
      <c r="D139" s="246">
        <f>D138/C138-1</f>
        <v>0.41428571428571437</v>
      </c>
      <c r="E139" s="246">
        <f>E138/D138-1</f>
        <v>0.28282828282828287</v>
      </c>
      <c r="F139" s="246">
        <f>F138/E138-1</f>
        <v>0.18897637795275601</v>
      </c>
      <c r="G139" s="246">
        <f t="shared" ref="G139:P139" si="306">F139+$S$48</f>
        <v>0.17047637795275603</v>
      </c>
      <c r="H139" s="246">
        <f t="shared" si="306"/>
        <v>0.15197637795275604</v>
      </c>
      <c r="I139" s="246">
        <f t="shared" si="306"/>
        <v>0.13347637795275605</v>
      </c>
      <c r="J139" s="246">
        <f t="shared" si="306"/>
        <v>0.11497637795275605</v>
      </c>
      <c r="K139" s="246">
        <f t="shared" si="306"/>
        <v>9.6476377952756043E-2</v>
      </c>
      <c r="L139" s="246">
        <f t="shared" si="306"/>
        <v>7.797637795275604E-2</v>
      </c>
      <c r="M139" s="246">
        <f t="shared" si="306"/>
        <v>5.9476377952756038E-2</v>
      </c>
      <c r="N139" s="246">
        <f t="shared" si="306"/>
        <v>4.0976377952756035E-2</v>
      </c>
      <c r="O139" s="246">
        <f t="shared" si="306"/>
        <v>2.2476377952756036E-2</v>
      </c>
      <c r="P139" s="246">
        <f t="shared" si="306"/>
        <v>3.9763779527560369E-3</v>
      </c>
      <c r="Q139" s="223"/>
      <c r="R139" s="227" t="s">
        <v>274</v>
      </c>
      <c r="S139" s="282">
        <v>-1.55E-2</v>
      </c>
      <c r="T139" s="508"/>
      <c r="U139" s="508"/>
      <c r="V139" s="508"/>
      <c r="W139" s="508"/>
      <c r="X139" s="508"/>
      <c r="Y139" s="508"/>
      <c r="Z139" s="508"/>
      <c r="AA139" s="508"/>
      <c r="AB139" s="508"/>
      <c r="AC139" s="508"/>
      <c r="AD139" s="261"/>
      <c r="AE139" s="227" t="s">
        <v>337</v>
      </c>
      <c r="AF139" s="227"/>
      <c r="AG139" s="227"/>
      <c r="AH139" s="227"/>
      <c r="AI139" s="227"/>
      <c r="AJ139" s="227"/>
    </row>
    <row r="140" spans="1:36" ht="15.6">
      <c r="A140" s="223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61"/>
      <c r="AE140" s="223"/>
      <c r="AF140" s="227"/>
      <c r="AG140" s="227"/>
      <c r="AH140" s="227"/>
      <c r="AI140" s="227"/>
      <c r="AJ140" s="227"/>
    </row>
    <row r="141" spans="1:36" ht="15.6">
      <c r="A141" s="223" t="s">
        <v>281</v>
      </c>
      <c r="B141" s="242">
        <v>31</v>
      </c>
      <c r="C141" s="242">
        <v>31</v>
      </c>
      <c r="D141" s="242">
        <v>32</v>
      </c>
      <c r="E141" s="242">
        <v>33</v>
      </c>
      <c r="F141" s="242">
        <v>33</v>
      </c>
      <c r="G141" s="242">
        <f>F141+$S$50</f>
        <v>33.07</v>
      </c>
      <c r="H141" s="242">
        <f t="shared" ref="H141:P141" si="307">G141+$S$50</f>
        <v>33.14</v>
      </c>
      <c r="I141" s="242">
        <f t="shared" si="307"/>
        <v>33.21</v>
      </c>
      <c r="J141" s="242">
        <f t="shared" si="307"/>
        <v>33.28</v>
      </c>
      <c r="K141" s="242">
        <f t="shared" si="307"/>
        <v>33.35</v>
      </c>
      <c r="L141" s="242">
        <f t="shared" si="307"/>
        <v>33.42</v>
      </c>
      <c r="M141" s="242">
        <f t="shared" si="307"/>
        <v>33.49</v>
      </c>
      <c r="N141" s="242">
        <f t="shared" si="307"/>
        <v>33.56</v>
      </c>
      <c r="O141" s="242">
        <f t="shared" si="307"/>
        <v>33.630000000000003</v>
      </c>
      <c r="P141" s="242">
        <f t="shared" si="307"/>
        <v>33.700000000000003</v>
      </c>
      <c r="Q141" s="223"/>
      <c r="R141" s="227" t="s">
        <v>274</v>
      </c>
      <c r="S141" s="229">
        <v>8.5000000000000006E-2</v>
      </c>
      <c r="T141" s="509"/>
      <c r="U141" s="509"/>
      <c r="V141" s="509"/>
      <c r="W141" s="509"/>
      <c r="X141" s="509"/>
      <c r="Y141" s="509"/>
      <c r="Z141" s="509"/>
      <c r="AA141" s="509"/>
      <c r="AB141" s="509"/>
      <c r="AC141" s="509"/>
      <c r="AD141" s="261"/>
      <c r="AE141" s="227" t="s">
        <v>343</v>
      </c>
      <c r="AF141" s="227"/>
      <c r="AG141" s="227"/>
      <c r="AH141" s="227"/>
      <c r="AI141" s="227"/>
      <c r="AJ141" s="227"/>
    </row>
    <row r="142" spans="1:36" ht="15.6">
      <c r="A142" s="223" t="s">
        <v>282</v>
      </c>
      <c r="B142" s="242">
        <v>7</v>
      </c>
      <c r="C142" s="242">
        <v>12</v>
      </c>
      <c r="D142" s="242">
        <v>16</v>
      </c>
      <c r="E142" s="242">
        <v>19</v>
      </c>
      <c r="F142" s="242">
        <v>20</v>
      </c>
      <c r="G142" s="242">
        <f t="shared" ref="G142:P150" si="308">F142+$S$50</f>
        <v>20.07</v>
      </c>
      <c r="H142" s="242">
        <f t="shared" si="308"/>
        <v>20.14</v>
      </c>
      <c r="I142" s="242">
        <f t="shared" si="308"/>
        <v>20.21</v>
      </c>
      <c r="J142" s="242">
        <f t="shared" si="308"/>
        <v>20.28</v>
      </c>
      <c r="K142" s="242">
        <f t="shared" si="308"/>
        <v>20.350000000000001</v>
      </c>
      <c r="L142" s="242">
        <f t="shared" si="308"/>
        <v>20.420000000000002</v>
      </c>
      <c r="M142" s="242">
        <f t="shared" si="308"/>
        <v>20.490000000000002</v>
      </c>
      <c r="N142" s="242">
        <f t="shared" si="308"/>
        <v>20.560000000000002</v>
      </c>
      <c r="O142" s="242">
        <f t="shared" si="308"/>
        <v>20.630000000000003</v>
      </c>
      <c r="P142" s="242">
        <f t="shared" si="308"/>
        <v>20.700000000000003</v>
      </c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61"/>
      <c r="AE142" s="223"/>
      <c r="AF142" s="227"/>
      <c r="AG142" s="227"/>
      <c r="AH142" s="227"/>
      <c r="AI142" s="227"/>
      <c r="AJ142" s="227"/>
    </row>
    <row r="143" spans="1:36" ht="15.6">
      <c r="A143" s="223" t="s">
        <v>283</v>
      </c>
      <c r="B143" s="242">
        <v>7</v>
      </c>
      <c r="C143" s="242">
        <v>9</v>
      </c>
      <c r="D143" s="242">
        <v>9</v>
      </c>
      <c r="E143" s="242">
        <v>9</v>
      </c>
      <c r="F143" s="242">
        <v>10</v>
      </c>
      <c r="G143" s="242">
        <f t="shared" si="308"/>
        <v>10.07</v>
      </c>
      <c r="H143" s="242">
        <f t="shared" si="308"/>
        <v>10.14</v>
      </c>
      <c r="I143" s="242">
        <f t="shared" si="308"/>
        <v>10.210000000000001</v>
      </c>
      <c r="J143" s="242">
        <f t="shared" si="308"/>
        <v>10.280000000000001</v>
      </c>
      <c r="K143" s="242">
        <f t="shared" si="308"/>
        <v>10.350000000000001</v>
      </c>
      <c r="L143" s="242">
        <f t="shared" si="308"/>
        <v>10.420000000000002</v>
      </c>
      <c r="M143" s="242">
        <f t="shared" si="308"/>
        <v>10.490000000000002</v>
      </c>
      <c r="N143" s="242">
        <f t="shared" si="308"/>
        <v>10.560000000000002</v>
      </c>
      <c r="O143" s="242">
        <f t="shared" si="308"/>
        <v>10.630000000000003</v>
      </c>
      <c r="P143" s="242">
        <f t="shared" si="308"/>
        <v>10.700000000000003</v>
      </c>
      <c r="Q143" s="223"/>
      <c r="R143" s="223"/>
      <c r="S143" s="223"/>
      <c r="T143" s="223"/>
      <c r="U143" s="223"/>
      <c r="V143" s="223"/>
      <c r="W143" s="223"/>
      <c r="X143" s="223"/>
      <c r="Y143" s="223"/>
      <c r="Z143" s="223"/>
      <c r="AA143" s="223"/>
      <c r="AB143" s="223"/>
      <c r="AC143" s="223"/>
      <c r="AD143" s="261"/>
      <c r="AE143" s="223"/>
      <c r="AF143" s="227"/>
      <c r="AG143" s="227"/>
      <c r="AH143" s="227"/>
      <c r="AI143" s="227"/>
      <c r="AJ143" s="227"/>
    </row>
    <row r="144" spans="1:36" ht="15.6">
      <c r="A144" s="223" t="s">
        <v>284</v>
      </c>
      <c r="B144" s="242">
        <v>6</v>
      </c>
      <c r="C144" s="242">
        <v>6</v>
      </c>
      <c r="D144" s="242">
        <v>7</v>
      </c>
      <c r="E144" s="242">
        <v>8</v>
      </c>
      <c r="F144" s="242">
        <v>10</v>
      </c>
      <c r="G144" s="242">
        <f t="shared" si="308"/>
        <v>10.07</v>
      </c>
      <c r="H144" s="242">
        <f t="shared" si="308"/>
        <v>10.14</v>
      </c>
      <c r="I144" s="242">
        <f t="shared" si="308"/>
        <v>10.210000000000001</v>
      </c>
      <c r="J144" s="242">
        <f t="shared" si="308"/>
        <v>10.280000000000001</v>
      </c>
      <c r="K144" s="242">
        <f t="shared" si="308"/>
        <v>10.350000000000001</v>
      </c>
      <c r="L144" s="242">
        <f t="shared" si="308"/>
        <v>10.420000000000002</v>
      </c>
      <c r="M144" s="242">
        <f t="shared" si="308"/>
        <v>10.490000000000002</v>
      </c>
      <c r="N144" s="242">
        <f t="shared" si="308"/>
        <v>10.560000000000002</v>
      </c>
      <c r="O144" s="242">
        <f t="shared" si="308"/>
        <v>10.630000000000003</v>
      </c>
      <c r="P144" s="242">
        <f t="shared" si="308"/>
        <v>10.700000000000003</v>
      </c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61"/>
      <c r="AE144" s="223"/>
      <c r="AF144" s="227"/>
      <c r="AG144" s="227"/>
      <c r="AH144" s="227"/>
      <c r="AI144" s="227"/>
      <c r="AJ144" s="227"/>
    </row>
    <row r="145" spans="1:36" ht="15.6">
      <c r="A145" s="223" t="s">
        <v>285</v>
      </c>
      <c r="B145" s="242">
        <v>7</v>
      </c>
      <c r="C145" s="242">
        <v>7</v>
      </c>
      <c r="D145" s="242">
        <v>8</v>
      </c>
      <c r="E145" s="242">
        <v>8</v>
      </c>
      <c r="F145" s="242">
        <v>8</v>
      </c>
      <c r="G145" s="242">
        <f t="shared" si="308"/>
        <v>8.07</v>
      </c>
      <c r="H145" s="242">
        <f t="shared" si="308"/>
        <v>8.14</v>
      </c>
      <c r="I145" s="242">
        <f t="shared" si="308"/>
        <v>8.2100000000000009</v>
      </c>
      <c r="J145" s="242">
        <f t="shared" si="308"/>
        <v>8.2800000000000011</v>
      </c>
      <c r="K145" s="242">
        <f t="shared" si="308"/>
        <v>8.3500000000000014</v>
      </c>
      <c r="L145" s="242">
        <f t="shared" si="308"/>
        <v>8.4200000000000017</v>
      </c>
      <c r="M145" s="242">
        <f t="shared" si="308"/>
        <v>8.490000000000002</v>
      </c>
      <c r="N145" s="242">
        <f t="shared" si="308"/>
        <v>8.5600000000000023</v>
      </c>
      <c r="O145" s="242">
        <f t="shared" si="308"/>
        <v>8.6300000000000026</v>
      </c>
      <c r="P145" s="242">
        <f t="shared" si="308"/>
        <v>8.7000000000000028</v>
      </c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  <c r="AA145" s="223"/>
      <c r="AB145" s="223"/>
      <c r="AC145" s="223"/>
      <c r="AD145" s="261"/>
      <c r="AE145" s="223"/>
      <c r="AF145" s="227"/>
      <c r="AG145" s="227"/>
      <c r="AH145" s="227"/>
      <c r="AI145" s="227"/>
      <c r="AJ145" s="227"/>
    </row>
    <row r="146" spans="1:36" ht="15.6">
      <c r="A146" s="223" t="s">
        <v>286</v>
      </c>
      <c r="B146" s="242">
        <v>2</v>
      </c>
      <c r="C146" s="242">
        <v>5</v>
      </c>
      <c r="D146" s="242">
        <v>7</v>
      </c>
      <c r="E146" s="242">
        <v>8</v>
      </c>
      <c r="F146" s="242">
        <v>8</v>
      </c>
      <c r="G146" s="242">
        <f t="shared" si="308"/>
        <v>8.07</v>
      </c>
      <c r="H146" s="242">
        <f t="shared" si="308"/>
        <v>8.14</v>
      </c>
      <c r="I146" s="242">
        <f t="shared" si="308"/>
        <v>8.2100000000000009</v>
      </c>
      <c r="J146" s="242">
        <f t="shared" si="308"/>
        <v>8.2800000000000011</v>
      </c>
      <c r="K146" s="242">
        <f t="shared" si="308"/>
        <v>8.3500000000000014</v>
      </c>
      <c r="L146" s="242">
        <f t="shared" si="308"/>
        <v>8.4200000000000017</v>
      </c>
      <c r="M146" s="242">
        <f t="shared" si="308"/>
        <v>8.490000000000002</v>
      </c>
      <c r="N146" s="242">
        <f t="shared" si="308"/>
        <v>8.5600000000000023</v>
      </c>
      <c r="O146" s="242">
        <f t="shared" si="308"/>
        <v>8.6300000000000026</v>
      </c>
      <c r="P146" s="242">
        <f t="shared" si="308"/>
        <v>8.7000000000000028</v>
      </c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71"/>
      <c r="AE146" s="223"/>
      <c r="AF146" s="230"/>
      <c r="AG146" s="230"/>
      <c r="AH146" s="230"/>
      <c r="AI146" s="230"/>
      <c r="AJ146" s="230"/>
    </row>
    <row r="147" spans="1:36" ht="15.6">
      <c r="A147" s="223" t="s">
        <v>287</v>
      </c>
      <c r="B147" s="242">
        <v>4</v>
      </c>
      <c r="C147" s="242">
        <v>6</v>
      </c>
      <c r="D147" s="242">
        <v>8</v>
      </c>
      <c r="E147" s="242">
        <v>7</v>
      </c>
      <c r="F147" s="242">
        <v>7</v>
      </c>
      <c r="G147" s="242">
        <f t="shared" si="308"/>
        <v>7.07</v>
      </c>
      <c r="H147" s="242">
        <f t="shared" si="308"/>
        <v>7.1400000000000006</v>
      </c>
      <c r="I147" s="242">
        <f t="shared" si="308"/>
        <v>7.2100000000000009</v>
      </c>
      <c r="J147" s="242">
        <f t="shared" si="308"/>
        <v>7.2800000000000011</v>
      </c>
      <c r="K147" s="242">
        <f t="shared" si="308"/>
        <v>7.3500000000000014</v>
      </c>
      <c r="L147" s="242">
        <f t="shared" si="308"/>
        <v>7.4200000000000017</v>
      </c>
      <c r="M147" s="242">
        <f t="shared" si="308"/>
        <v>7.490000000000002</v>
      </c>
      <c r="N147" s="242">
        <f t="shared" si="308"/>
        <v>7.5600000000000023</v>
      </c>
      <c r="O147" s="242">
        <f t="shared" si="308"/>
        <v>7.6300000000000026</v>
      </c>
      <c r="P147" s="242">
        <f t="shared" si="308"/>
        <v>7.7000000000000028</v>
      </c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71"/>
      <c r="AE147" s="223"/>
      <c r="AF147" s="230"/>
      <c r="AG147" s="230"/>
      <c r="AH147" s="230"/>
      <c r="AI147" s="230"/>
      <c r="AJ147" s="230"/>
    </row>
    <row r="148" spans="1:36" ht="15.6">
      <c r="A148" s="223" t="s">
        <v>288</v>
      </c>
      <c r="B148" s="242">
        <v>2</v>
      </c>
      <c r="C148" s="242">
        <v>2</v>
      </c>
      <c r="D148" s="242">
        <v>2</v>
      </c>
      <c r="E148" s="242">
        <v>3</v>
      </c>
      <c r="F148" s="242">
        <v>5</v>
      </c>
      <c r="G148" s="242">
        <f t="shared" si="308"/>
        <v>5.07</v>
      </c>
      <c r="H148" s="242">
        <f t="shared" si="308"/>
        <v>5.1400000000000006</v>
      </c>
      <c r="I148" s="242">
        <f t="shared" si="308"/>
        <v>5.2100000000000009</v>
      </c>
      <c r="J148" s="242">
        <f t="shared" si="308"/>
        <v>5.2800000000000011</v>
      </c>
      <c r="K148" s="242">
        <f t="shared" si="308"/>
        <v>5.3500000000000014</v>
      </c>
      <c r="L148" s="242">
        <f t="shared" si="308"/>
        <v>5.4200000000000017</v>
      </c>
      <c r="M148" s="242">
        <f t="shared" si="308"/>
        <v>5.490000000000002</v>
      </c>
      <c r="N148" s="242">
        <f t="shared" si="308"/>
        <v>5.5600000000000023</v>
      </c>
      <c r="O148" s="242">
        <f t="shared" si="308"/>
        <v>5.6300000000000026</v>
      </c>
      <c r="P148" s="242">
        <f t="shared" si="308"/>
        <v>5.7000000000000028</v>
      </c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71"/>
      <c r="AE148" s="223"/>
      <c r="AF148" s="230"/>
      <c r="AG148" s="230"/>
      <c r="AH148" s="230"/>
      <c r="AI148" s="230"/>
      <c r="AJ148" s="230"/>
    </row>
    <row r="149" spans="1:36" ht="15.6">
      <c r="A149" s="223" t="s">
        <v>289</v>
      </c>
      <c r="B149" s="242">
        <v>0</v>
      </c>
      <c r="C149" s="242">
        <v>0</v>
      </c>
      <c r="D149" s="242">
        <v>0</v>
      </c>
      <c r="E149" s="242">
        <v>1</v>
      </c>
      <c r="F149" s="242">
        <v>4</v>
      </c>
      <c r="G149" s="242">
        <f t="shared" si="308"/>
        <v>4.07</v>
      </c>
      <c r="H149" s="242">
        <f t="shared" si="308"/>
        <v>4.1400000000000006</v>
      </c>
      <c r="I149" s="242">
        <f t="shared" si="308"/>
        <v>4.2100000000000009</v>
      </c>
      <c r="J149" s="242">
        <f t="shared" si="308"/>
        <v>4.2800000000000011</v>
      </c>
      <c r="K149" s="242">
        <f t="shared" si="308"/>
        <v>4.3500000000000014</v>
      </c>
      <c r="L149" s="242">
        <f t="shared" si="308"/>
        <v>4.4200000000000017</v>
      </c>
      <c r="M149" s="242">
        <f t="shared" si="308"/>
        <v>4.490000000000002</v>
      </c>
      <c r="N149" s="242">
        <f t="shared" si="308"/>
        <v>4.5600000000000023</v>
      </c>
      <c r="O149" s="242">
        <f t="shared" si="308"/>
        <v>4.6300000000000026</v>
      </c>
      <c r="P149" s="242">
        <f t="shared" si="308"/>
        <v>4.7000000000000028</v>
      </c>
      <c r="Q149" s="223"/>
      <c r="R149" s="223"/>
      <c r="S149" s="223"/>
      <c r="T149" s="223"/>
      <c r="U149" s="223"/>
      <c r="V149" s="223"/>
      <c r="W149" s="223"/>
      <c r="X149" s="223"/>
      <c r="Y149" s="223"/>
      <c r="Z149" s="223"/>
      <c r="AA149" s="223"/>
      <c r="AB149" s="223"/>
      <c r="AC149" s="223"/>
      <c r="AD149" s="271"/>
      <c r="AE149" s="261"/>
      <c r="AF149" s="230"/>
      <c r="AG149" s="230"/>
      <c r="AH149" s="230"/>
      <c r="AI149" s="230"/>
      <c r="AJ149" s="230"/>
    </row>
    <row r="150" spans="1:36" ht="15.6">
      <c r="A150" s="223" t="s">
        <v>290</v>
      </c>
      <c r="B150" s="242">
        <v>2</v>
      </c>
      <c r="C150" s="242">
        <v>2</v>
      </c>
      <c r="D150" s="242">
        <v>2</v>
      </c>
      <c r="E150" s="242">
        <v>2</v>
      </c>
      <c r="F150" s="242">
        <v>2</v>
      </c>
      <c r="G150" s="242">
        <f t="shared" si="308"/>
        <v>2.0699999999999998</v>
      </c>
      <c r="H150" s="242">
        <f t="shared" si="308"/>
        <v>2.1399999999999997</v>
      </c>
      <c r="I150" s="242">
        <f t="shared" si="308"/>
        <v>2.2099999999999995</v>
      </c>
      <c r="J150" s="242">
        <f t="shared" si="308"/>
        <v>2.2799999999999994</v>
      </c>
      <c r="K150" s="242">
        <f t="shared" si="308"/>
        <v>2.3499999999999992</v>
      </c>
      <c r="L150" s="242">
        <f t="shared" si="308"/>
        <v>2.419999999999999</v>
      </c>
      <c r="M150" s="242">
        <f t="shared" si="308"/>
        <v>2.4899999999999989</v>
      </c>
      <c r="N150" s="242">
        <f t="shared" si="308"/>
        <v>2.5599999999999987</v>
      </c>
      <c r="O150" s="242">
        <f t="shared" si="308"/>
        <v>2.6299999999999986</v>
      </c>
      <c r="P150" s="242">
        <f t="shared" si="308"/>
        <v>2.6999999999999984</v>
      </c>
      <c r="Q150" s="223"/>
      <c r="R150" s="261"/>
      <c r="S150" s="285"/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271"/>
      <c r="AE150" s="261"/>
      <c r="AF150" s="230"/>
      <c r="AG150" s="230"/>
      <c r="AH150" s="230"/>
      <c r="AI150" s="230"/>
      <c r="AJ150" s="230"/>
    </row>
    <row r="151" spans="1:36" ht="15.6">
      <c r="A151" s="223" t="s">
        <v>340</v>
      </c>
      <c r="B151" s="242">
        <v>0</v>
      </c>
      <c r="C151" s="242">
        <v>0</v>
      </c>
      <c r="D151" s="242">
        <v>0</v>
      </c>
      <c r="E151" s="242">
        <v>0</v>
      </c>
      <c r="F151" s="242">
        <v>0</v>
      </c>
      <c r="G151" s="249">
        <v>2</v>
      </c>
      <c r="H151" s="242">
        <f>G151+$S151</f>
        <v>10</v>
      </c>
      <c r="I151" s="242">
        <f t="shared" ref="I151:P151" si="309">H151+$S151</f>
        <v>18</v>
      </c>
      <c r="J151" s="242">
        <f t="shared" si="309"/>
        <v>26</v>
      </c>
      <c r="K151" s="242">
        <f t="shared" si="309"/>
        <v>34</v>
      </c>
      <c r="L151" s="242">
        <f t="shared" si="309"/>
        <v>42</v>
      </c>
      <c r="M151" s="242">
        <f t="shared" si="309"/>
        <v>50</v>
      </c>
      <c r="N151" s="242">
        <f t="shared" si="309"/>
        <v>58</v>
      </c>
      <c r="O151" s="242">
        <f t="shared" si="309"/>
        <v>66</v>
      </c>
      <c r="P151" s="242">
        <f t="shared" si="309"/>
        <v>74</v>
      </c>
      <c r="Q151" s="223"/>
      <c r="R151" s="227" t="s">
        <v>274</v>
      </c>
      <c r="S151" s="283">
        <v>8</v>
      </c>
      <c r="T151" s="510"/>
      <c r="U151" s="510"/>
      <c r="V151" s="510"/>
      <c r="W151" s="510"/>
      <c r="X151" s="510"/>
      <c r="Y151" s="510"/>
      <c r="Z151" s="510"/>
      <c r="AA151" s="510"/>
      <c r="AB151" s="510"/>
      <c r="AC151" s="510"/>
      <c r="AD151" s="272"/>
      <c r="AE151" s="261" t="s">
        <v>344</v>
      </c>
      <c r="AF151" s="232"/>
      <c r="AG151" s="232"/>
      <c r="AH151" s="232"/>
      <c r="AI151" s="232"/>
      <c r="AJ151" s="232"/>
    </row>
    <row r="152" spans="1:36" ht="15.6">
      <c r="A152" s="240" t="s">
        <v>301</v>
      </c>
      <c r="B152" s="245">
        <f>SUM(B141:B151)</f>
        <v>68</v>
      </c>
      <c r="C152" s="245">
        <f t="shared" ref="C152:D152" si="310">SUM(C141:C151)</f>
        <v>80</v>
      </c>
      <c r="D152" s="245">
        <f t="shared" si="310"/>
        <v>91</v>
      </c>
      <c r="E152" s="245">
        <f>SUM(E141:E151)</f>
        <v>98</v>
      </c>
      <c r="F152" s="245">
        <f>SUM(F141:F151)</f>
        <v>107</v>
      </c>
      <c r="G152" s="245">
        <f>SUM(G141:G151)</f>
        <v>109.69999999999996</v>
      </c>
      <c r="H152" s="245">
        <f t="shared" ref="H152:P152" si="311">SUM(H141:H151)</f>
        <v>118.4</v>
      </c>
      <c r="I152" s="245">
        <f t="shared" si="311"/>
        <v>127.10000000000004</v>
      </c>
      <c r="J152" s="245">
        <f t="shared" si="311"/>
        <v>135.80000000000001</v>
      </c>
      <c r="K152" s="245">
        <f t="shared" si="311"/>
        <v>144.49999999999997</v>
      </c>
      <c r="L152" s="245">
        <f t="shared" si="311"/>
        <v>153.20000000000002</v>
      </c>
      <c r="M152" s="245">
        <f t="shared" si="311"/>
        <v>161.90000000000003</v>
      </c>
      <c r="N152" s="245">
        <f t="shared" si="311"/>
        <v>170.60000000000002</v>
      </c>
      <c r="O152" s="245">
        <f t="shared" si="311"/>
        <v>179.29999999999998</v>
      </c>
      <c r="P152" s="245">
        <f t="shared" si="311"/>
        <v>188.00000000000003</v>
      </c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61"/>
      <c r="AE152" s="261"/>
      <c r="AF152" s="227"/>
      <c r="AG152" s="227"/>
      <c r="AH152" s="227"/>
      <c r="AI152" s="227"/>
      <c r="AJ152" s="227"/>
    </row>
    <row r="153" spans="1:36" ht="15.6">
      <c r="A153" s="250" t="s">
        <v>336</v>
      </c>
      <c r="B153" s="242"/>
      <c r="C153" s="246">
        <f t="shared" ref="C153:P153" si="312">C152/B152-1</f>
        <v>0.17647058823529416</v>
      </c>
      <c r="D153" s="246">
        <f t="shared" si="312"/>
        <v>0.13749999999999996</v>
      </c>
      <c r="E153" s="246">
        <f t="shared" si="312"/>
        <v>7.6923076923076872E-2</v>
      </c>
      <c r="F153" s="246">
        <f t="shared" si="312"/>
        <v>9.1836734693877542E-2</v>
      </c>
      <c r="G153" s="246">
        <f t="shared" si="312"/>
        <v>2.5233644859812721E-2</v>
      </c>
      <c r="H153" s="246">
        <f t="shared" si="312"/>
        <v>7.9307201458523657E-2</v>
      </c>
      <c r="I153" s="246">
        <f t="shared" si="312"/>
        <v>7.3479729729730048E-2</v>
      </c>
      <c r="J153" s="246">
        <f t="shared" si="312"/>
        <v>6.8450039339102764E-2</v>
      </c>
      <c r="K153" s="246">
        <f t="shared" si="312"/>
        <v>6.4064801178203012E-2</v>
      </c>
      <c r="L153" s="246">
        <f t="shared" si="312"/>
        <v>6.0207612456747661E-2</v>
      </c>
      <c r="M153" s="246">
        <f t="shared" si="312"/>
        <v>5.6788511749347403E-2</v>
      </c>
      <c r="N153" s="246">
        <f t="shared" si="312"/>
        <v>5.3736874613959262E-2</v>
      </c>
      <c r="O153" s="246">
        <f t="shared" si="312"/>
        <v>5.0996483001171988E-2</v>
      </c>
      <c r="P153" s="246">
        <f t="shared" si="312"/>
        <v>4.8522030117122306E-2</v>
      </c>
      <c r="Q153" s="223"/>
      <c r="R153" s="261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61"/>
      <c r="AE153" s="261"/>
      <c r="AF153" s="227"/>
      <c r="AG153" s="227"/>
      <c r="AH153" s="227"/>
      <c r="AI153" s="227"/>
      <c r="AJ153" s="227"/>
    </row>
    <row r="154" spans="1:36" ht="15.6">
      <c r="A154" s="223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23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1"/>
      <c r="AE154" s="261"/>
      <c r="AF154" s="227"/>
      <c r="AG154" s="227"/>
      <c r="AH154" s="227"/>
      <c r="AI154" s="227"/>
      <c r="AJ154" s="227"/>
    </row>
    <row r="155" spans="1:36" ht="15.6">
      <c r="A155" s="223" t="s">
        <v>291</v>
      </c>
      <c r="B155" s="242">
        <v>16</v>
      </c>
      <c r="C155" s="242">
        <v>17</v>
      </c>
      <c r="D155" s="242">
        <v>20</v>
      </c>
      <c r="E155" s="242">
        <v>20</v>
      </c>
      <c r="F155" s="242">
        <v>19</v>
      </c>
      <c r="G155" s="242">
        <f>F155+$S$64</f>
        <v>19.04</v>
      </c>
      <c r="H155" s="242">
        <f t="shared" ref="H155:P155" si="313">G155+$S$64</f>
        <v>19.079999999999998</v>
      </c>
      <c r="I155" s="242">
        <f t="shared" si="313"/>
        <v>19.119999999999997</v>
      </c>
      <c r="J155" s="242">
        <f t="shared" si="313"/>
        <v>19.159999999999997</v>
      </c>
      <c r="K155" s="242">
        <f t="shared" si="313"/>
        <v>19.199999999999996</v>
      </c>
      <c r="L155" s="242">
        <f t="shared" si="313"/>
        <v>19.239999999999995</v>
      </c>
      <c r="M155" s="242">
        <f t="shared" si="313"/>
        <v>19.279999999999994</v>
      </c>
      <c r="N155" s="242">
        <f t="shared" si="313"/>
        <v>19.319999999999993</v>
      </c>
      <c r="O155" s="242">
        <f t="shared" si="313"/>
        <v>19.359999999999992</v>
      </c>
      <c r="P155" s="242">
        <f t="shared" si="313"/>
        <v>19.399999999999991</v>
      </c>
      <c r="Q155" s="223"/>
      <c r="R155" s="227" t="s">
        <v>274</v>
      </c>
      <c r="S155" s="280">
        <v>5.5E-2</v>
      </c>
      <c r="T155" s="509"/>
      <c r="U155" s="509"/>
      <c r="V155" s="509"/>
      <c r="W155" s="509"/>
      <c r="X155" s="509"/>
      <c r="Y155" s="509"/>
      <c r="Z155" s="509"/>
      <c r="AA155" s="509"/>
      <c r="AB155" s="509"/>
      <c r="AC155" s="509"/>
      <c r="AD155" s="261"/>
      <c r="AE155" s="261" t="s">
        <v>341</v>
      </c>
      <c r="AF155" s="227"/>
      <c r="AG155" s="227"/>
      <c r="AH155" s="227"/>
      <c r="AI155" s="227"/>
      <c r="AJ155" s="227"/>
    </row>
    <row r="156" spans="1:36" ht="15.6">
      <c r="A156" s="223" t="s">
        <v>292</v>
      </c>
      <c r="B156" s="242">
        <v>7</v>
      </c>
      <c r="C156" s="242">
        <v>9</v>
      </c>
      <c r="D156" s="242">
        <v>10</v>
      </c>
      <c r="E156" s="242">
        <v>9</v>
      </c>
      <c r="F156" s="242">
        <v>9</v>
      </c>
      <c r="G156" s="242">
        <f t="shared" ref="G156:P163" si="314">F156+$S$64</f>
        <v>9.0399999999999991</v>
      </c>
      <c r="H156" s="242">
        <f t="shared" si="314"/>
        <v>9.0799999999999983</v>
      </c>
      <c r="I156" s="242">
        <f t="shared" si="314"/>
        <v>9.1199999999999974</v>
      </c>
      <c r="J156" s="242">
        <f t="shared" si="314"/>
        <v>9.1599999999999966</v>
      </c>
      <c r="K156" s="242">
        <f t="shared" si="314"/>
        <v>9.1999999999999957</v>
      </c>
      <c r="L156" s="242">
        <f t="shared" si="314"/>
        <v>9.2399999999999949</v>
      </c>
      <c r="M156" s="242">
        <f t="shared" si="314"/>
        <v>9.279999999999994</v>
      </c>
      <c r="N156" s="242">
        <f t="shared" si="314"/>
        <v>9.3199999999999932</v>
      </c>
      <c r="O156" s="242">
        <f t="shared" si="314"/>
        <v>9.3599999999999923</v>
      </c>
      <c r="P156" s="242">
        <f t="shared" si="314"/>
        <v>9.3999999999999915</v>
      </c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  <c r="AB156" s="223"/>
      <c r="AC156" s="223"/>
      <c r="AD156" s="261"/>
      <c r="AE156" s="261"/>
      <c r="AF156" s="227"/>
      <c r="AG156" s="227"/>
      <c r="AH156" s="227"/>
      <c r="AI156" s="227"/>
      <c r="AJ156" s="227"/>
    </row>
    <row r="157" spans="1:36" ht="15.6">
      <c r="A157" s="223" t="s">
        <v>293</v>
      </c>
      <c r="B157" s="242">
        <v>3</v>
      </c>
      <c r="C157" s="242">
        <v>3</v>
      </c>
      <c r="D157" s="242">
        <v>4</v>
      </c>
      <c r="E157" s="242">
        <v>6</v>
      </c>
      <c r="F157" s="242">
        <v>6</v>
      </c>
      <c r="G157" s="242">
        <f t="shared" si="314"/>
        <v>6.04</v>
      </c>
      <c r="H157" s="242">
        <f t="shared" si="314"/>
        <v>6.08</v>
      </c>
      <c r="I157" s="242">
        <f t="shared" si="314"/>
        <v>6.12</v>
      </c>
      <c r="J157" s="242">
        <f t="shared" si="314"/>
        <v>6.16</v>
      </c>
      <c r="K157" s="242">
        <f t="shared" si="314"/>
        <v>6.2</v>
      </c>
      <c r="L157" s="242">
        <f t="shared" si="314"/>
        <v>6.24</v>
      </c>
      <c r="M157" s="242">
        <f t="shared" si="314"/>
        <v>6.28</v>
      </c>
      <c r="N157" s="242">
        <f t="shared" si="314"/>
        <v>6.32</v>
      </c>
      <c r="O157" s="242">
        <f t="shared" si="314"/>
        <v>6.36</v>
      </c>
      <c r="P157" s="242">
        <f t="shared" si="314"/>
        <v>6.4</v>
      </c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  <c r="AA157" s="223"/>
      <c r="AB157" s="223"/>
      <c r="AC157" s="223"/>
      <c r="AD157" s="261"/>
      <c r="AE157" s="261"/>
      <c r="AF157" s="227"/>
      <c r="AG157" s="227"/>
      <c r="AH157" s="227"/>
      <c r="AI157" s="227"/>
      <c r="AJ157" s="227"/>
    </row>
    <row r="158" spans="1:36" ht="15.6">
      <c r="A158" s="223" t="s">
        <v>294</v>
      </c>
      <c r="B158" s="242">
        <v>1</v>
      </c>
      <c r="C158" s="242">
        <v>3</v>
      </c>
      <c r="D158" s="242">
        <v>4</v>
      </c>
      <c r="E158" s="242">
        <v>4</v>
      </c>
      <c r="F158" s="242">
        <v>4</v>
      </c>
      <c r="G158" s="242">
        <f t="shared" si="314"/>
        <v>4.04</v>
      </c>
      <c r="H158" s="242">
        <f t="shared" si="314"/>
        <v>4.08</v>
      </c>
      <c r="I158" s="242">
        <f t="shared" si="314"/>
        <v>4.12</v>
      </c>
      <c r="J158" s="242">
        <f t="shared" si="314"/>
        <v>4.16</v>
      </c>
      <c r="K158" s="242">
        <f t="shared" si="314"/>
        <v>4.2</v>
      </c>
      <c r="L158" s="242">
        <f t="shared" si="314"/>
        <v>4.24</v>
      </c>
      <c r="M158" s="242">
        <f t="shared" si="314"/>
        <v>4.28</v>
      </c>
      <c r="N158" s="242">
        <f t="shared" si="314"/>
        <v>4.32</v>
      </c>
      <c r="O158" s="242">
        <f t="shared" si="314"/>
        <v>4.3600000000000003</v>
      </c>
      <c r="P158" s="242">
        <f t="shared" si="314"/>
        <v>4.4000000000000004</v>
      </c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  <c r="AA158" s="223"/>
      <c r="AB158" s="223"/>
      <c r="AC158" s="223"/>
      <c r="AD158" s="261"/>
      <c r="AE158" s="261"/>
      <c r="AF158" s="227"/>
      <c r="AG158" s="227"/>
      <c r="AH158" s="227"/>
      <c r="AI158" s="227"/>
      <c r="AJ158" s="227"/>
    </row>
    <row r="159" spans="1:36" ht="15.6">
      <c r="A159" s="223" t="s">
        <v>295</v>
      </c>
      <c r="B159" s="242">
        <v>0</v>
      </c>
      <c r="C159" s="242">
        <v>0</v>
      </c>
      <c r="D159" s="242">
        <v>3</v>
      </c>
      <c r="E159" s="242">
        <v>3</v>
      </c>
      <c r="F159" s="242">
        <v>3</v>
      </c>
      <c r="G159" s="242">
        <f t="shared" si="314"/>
        <v>3.04</v>
      </c>
      <c r="H159" s="242">
        <f t="shared" si="314"/>
        <v>3.08</v>
      </c>
      <c r="I159" s="242">
        <f t="shared" si="314"/>
        <v>3.12</v>
      </c>
      <c r="J159" s="242">
        <f t="shared" si="314"/>
        <v>3.16</v>
      </c>
      <c r="K159" s="242">
        <f t="shared" si="314"/>
        <v>3.2</v>
      </c>
      <c r="L159" s="242">
        <f t="shared" si="314"/>
        <v>3.24</v>
      </c>
      <c r="M159" s="242">
        <f t="shared" si="314"/>
        <v>3.2800000000000002</v>
      </c>
      <c r="N159" s="242">
        <f t="shared" si="314"/>
        <v>3.3200000000000003</v>
      </c>
      <c r="O159" s="242">
        <f t="shared" si="314"/>
        <v>3.3600000000000003</v>
      </c>
      <c r="P159" s="242">
        <f t="shared" si="314"/>
        <v>3.4000000000000004</v>
      </c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  <c r="AA159" s="223"/>
      <c r="AB159" s="223"/>
      <c r="AC159" s="223"/>
      <c r="AD159" s="261"/>
      <c r="AE159" s="261"/>
      <c r="AF159" s="227"/>
      <c r="AG159" s="227"/>
      <c r="AH159" s="227"/>
      <c r="AI159" s="227"/>
      <c r="AJ159" s="227"/>
    </row>
    <row r="160" spans="1:36" ht="15.6">
      <c r="A160" s="223" t="s">
        <v>296</v>
      </c>
      <c r="B160" s="242">
        <v>1</v>
      </c>
      <c r="C160" s="242">
        <v>1</v>
      </c>
      <c r="D160" s="242">
        <v>1</v>
      </c>
      <c r="E160" s="242">
        <v>2</v>
      </c>
      <c r="F160" s="242">
        <v>2</v>
      </c>
      <c r="G160" s="242">
        <f t="shared" si="314"/>
        <v>2.04</v>
      </c>
      <c r="H160" s="242">
        <f t="shared" si="314"/>
        <v>2.08</v>
      </c>
      <c r="I160" s="242">
        <f t="shared" si="314"/>
        <v>2.12</v>
      </c>
      <c r="J160" s="242">
        <f t="shared" si="314"/>
        <v>2.16</v>
      </c>
      <c r="K160" s="242">
        <f t="shared" si="314"/>
        <v>2.2000000000000002</v>
      </c>
      <c r="L160" s="242">
        <f t="shared" si="314"/>
        <v>2.2400000000000002</v>
      </c>
      <c r="M160" s="242">
        <f t="shared" si="314"/>
        <v>2.2800000000000002</v>
      </c>
      <c r="N160" s="242">
        <f t="shared" si="314"/>
        <v>2.3200000000000003</v>
      </c>
      <c r="O160" s="242">
        <f t="shared" si="314"/>
        <v>2.3600000000000003</v>
      </c>
      <c r="P160" s="242">
        <f t="shared" si="314"/>
        <v>2.4000000000000004</v>
      </c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61"/>
      <c r="AE160" s="261"/>
      <c r="AF160" s="227"/>
      <c r="AG160" s="227"/>
      <c r="AH160" s="227"/>
      <c r="AI160" s="227"/>
      <c r="AJ160" s="227"/>
    </row>
    <row r="161" spans="1:36" ht="15.75" customHeight="1">
      <c r="A161" s="223" t="s">
        <v>297</v>
      </c>
      <c r="B161" s="242">
        <v>2</v>
      </c>
      <c r="C161" s="242">
        <v>2</v>
      </c>
      <c r="D161" s="242">
        <v>2</v>
      </c>
      <c r="E161" s="242">
        <v>2</v>
      </c>
      <c r="F161" s="242">
        <v>2</v>
      </c>
      <c r="G161" s="242">
        <f t="shared" si="314"/>
        <v>2.04</v>
      </c>
      <c r="H161" s="242">
        <f t="shared" si="314"/>
        <v>2.08</v>
      </c>
      <c r="I161" s="242">
        <f t="shared" si="314"/>
        <v>2.12</v>
      </c>
      <c r="J161" s="242">
        <f t="shared" si="314"/>
        <v>2.16</v>
      </c>
      <c r="K161" s="242">
        <f t="shared" si="314"/>
        <v>2.2000000000000002</v>
      </c>
      <c r="L161" s="242">
        <f t="shared" si="314"/>
        <v>2.2400000000000002</v>
      </c>
      <c r="M161" s="242">
        <f t="shared" si="314"/>
        <v>2.2800000000000002</v>
      </c>
      <c r="N161" s="242">
        <f t="shared" si="314"/>
        <v>2.3200000000000003</v>
      </c>
      <c r="O161" s="242">
        <f t="shared" si="314"/>
        <v>2.3600000000000003</v>
      </c>
      <c r="P161" s="242">
        <f t="shared" si="314"/>
        <v>2.4000000000000004</v>
      </c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  <c r="AA161" s="223"/>
      <c r="AB161" s="223"/>
      <c r="AC161" s="223"/>
      <c r="AD161" s="273"/>
      <c r="AE161" s="261"/>
      <c r="AF161" s="273"/>
      <c r="AG161" s="273"/>
      <c r="AH161" s="273"/>
      <c r="AI161" s="273"/>
      <c r="AJ161" s="273"/>
    </row>
    <row r="162" spans="1:36" ht="15.75" customHeight="1">
      <c r="A162" s="223" t="s">
        <v>298</v>
      </c>
      <c r="B162" s="242">
        <v>1</v>
      </c>
      <c r="C162" s="242">
        <v>1</v>
      </c>
      <c r="D162" s="242">
        <v>1</v>
      </c>
      <c r="E162" s="242">
        <v>1</v>
      </c>
      <c r="F162" s="242">
        <v>1</v>
      </c>
      <c r="G162" s="242">
        <f t="shared" si="314"/>
        <v>1.04</v>
      </c>
      <c r="H162" s="242">
        <f t="shared" si="314"/>
        <v>1.08</v>
      </c>
      <c r="I162" s="242">
        <f t="shared" si="314"/>
        <v>1.1200000000000001</v>
      </c>
      <c r="J162" s="242">
        <f t="shared" si="314"/>
        <v>1.1600000000000001</v>
      </c>
      <c r="K162" s="242">
        <f t="shared" si="314"/>
        <v>1.2000000000000002</v>
      </c>
      <c r="L162" s="242">
        <f t="shared" si="314"/>
        <v>1.2400000000000002</v>
      </c>
      <c r="M162" s="242">
        <f t="shared" si="314"/>
        <v>1.2800000000000002</v>
      </c>
      <c r="N162" s="242">
        <f t="shared" si="314"/>
        <v>1.3200000000000003</v>
      </c>
      <c r="O162" s="242">
        <f t="shared" si="314"/>
        <v>1.3600000000000003</v>
      </c>
      <c r="P162" s="242">
        <f t="shared" si="314"/>
        <v>1.4000000000000004</v>
      </c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  <c r="AA162" s="223"/>
      <c r="AB162" s="223"/>
      <c r="AC162" s="223"/>
      <c r="AD162" s="273"/>
      <c r="AE162" s="261"/>
      <c r="AF162" s="273"/>
      <c r="AG162" s="273"/>
      <c r="AH162" s="273"/>
      <c r="AI162" s="273"/>
      <c r="AJ162" s="273"/>
    </row>
    <row r="163" spans="1:36" ht="15.75" customHeight="1">
      <c r="A163" s="223" t="s">
        <v>299</v>
      </c>
      <c r="B163" s="242">
        <v>1</v>
      </c>
      <c r="C163" s="242">
        <v>1</v>
      </c>
      <c r="D163" s="242">
        <v>1</v>
      </c>
      <c r="E163" s="242">
        <v>1</v>
      </c>
      <c r="F163" s="242">
        <v>1</v>
      </c>
      <c r="G163" s="242">
        <f t="shared" si="314"/>
        <v>1.04</v>
      </c>
      <c r="H163" s="242">
        <f t="shared" si="314"/>
        <v>1.08</v>
      </c>
      <c r="I163" s="242">
        <f t="shared" si="314"/>
        <v>1.1200000000000001</v>
      </c>
      <c r="J163" s="242">
        <f t="shared" si="314"/>
        <v>1.1600000000000001</v>
      </c>
      <c r="K163" s="242">
        <f t="shared" si="314"/>
        <v>1.2000000000000002</v>
      </c>
      <c r="L163" s="242">
        <f t="shared" si="314"/>
        <v>1.2400000000000002</v>
      </c>
      <c r="M163" s="242">
        <f t="shared" si="314"/>
        <v>1.2800000000000002</v>
      </c>
      <c r="N163" s="242">
        <f t="shared" si="314"/>
        <v>1.3200000000000003</v>
      </c>
      <c r="O163" s="242">
        <f t="shared" si="314"/>
        <v>1.3600000000000003</v>
      </c>
      <c r="P163" s="242">
        <f t="shared" si="314"/>
        <v>1.4000000000000004</v>
      </c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  <c r="AA163" s="223"/>
      <c r="AB163" s="223"/>
      <c r="AC163" s="223"/>
      <c r="AD163" s="273"/>
      <c r="AE163" s="261"/>
      <c r="AF163" s="273"/>
      <c r="AG163" s="273"/>
      <c r="AH163" s="273"/>
      <c r="AI163" s="273"/>
      <c r="AJ163" s="273"/>
    </row>
    <row r="164" spans="1:36" ht="15.75" customHeight="1">
      <c r="A164" s="223" t="s">
        <v>340</v>
      </c>
      <c r="B164" s="242">
        <v>0</v>
      </c>
      <c r="C164" s="242">
        <v>0</v>
      </c>
      <c r="D164" s="242">
        <v>0</v>
      </c>
      <c r="E164" s="242">
        <v>0</v>
      </c>
      <c r="F164" s="242">
        <v>0</v>
      </c>
      <c r="G164" s="249">
        <v>2</v>
      </c>
      <c r="H164" s="242">
        <f>G164+$S164</f>
        <v>4</v>
      </c>
      <c r="I164" s="242">
        <f t="shared" ref="I164:P164" si="315">H164+$S164</f>
        <v>6</v>
      </c>
      <c r="J164" s="242">
        <f t="shared" si="315"/>
        <v>8</v>
      </c>
      <c r="K164" s="242">
        <f t="shared" si="315"/>
        <v>10</v>
      </c>
      <c r="L164" s="242">
        <f t="shared" si="315"/>
        <v>12</v>
      </c>
      <c r="M164" s="242">
        <f t="shared" si="315"/>
        <v>14</v>
      </c>
      <c r="N164" s="242">
        <f t="shared" si="315"/>
        <v>16</v>
      </c>
      <c r="O164" s="242">
        <f t="shared" si="315"/>
        <v>18</v>
      </c>
      <c r="P164" s="242">
        <f t="shared" si="315"/>
        <v>20</v>
      </c>
      <c r="Q164" s="223"/>
      <c r="R164" s="227" t="s">
        <v>274</v>
      </c>
      <c r="S164" s="283">
        <v>2</v>
      </c>
      <c r="T164" s="510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273"/>
      <c r="AE164" s="261" t="s">
        <v>342</v>
      </c>
      <c r="AF164" s="273"/>
      <c r="AG164" s="273"/>
      <c r="AH164" s="273"/>
      <c r="AI164" s="273"/>
      <c r="AJ164" s="273"/>
    </row>
    <row r="165" spans="1:36" ht="15.75" customHeight="1">
      <c r="A165" s="240" t="s">
        <v>302</v>
      </c>
      <c r="B165" s="245">
        <f>SUM(B155:B164)</f>
        <v>32</v>
      </c>
      <c r="C165" s="245">
        <f t="shared" ref="C165:P165" si="316">SUM(C155:C164)</f>
        <v>37</v>
      </c>
      <c r="D165" s="245">
        <f t="shared" si="316"/>
        <v>46</v>
      </c>
      <c r="E165" s="245">
        <f t="shared" si="316"/>
        <v>48</v>
      </c>
      <c r="F165" s="245">
        <f t="shared" si="316"/>
        <v>47</v>
      </c>
      <c r="G165" s="245">
        <f t="shared" si="316"/>
        <v>49.359999999999992</v>
      </c>
      <c r="H165" s="245">
        <f t="shared" si="316"/>
        <v>51.719999999999985</v>
      </c>
      <c r="I165" s="245">
        <f t="shared" si="316"/>
        <v>54.079999999999977</v>
      </c>
      <c r="J165" s="245">
        <f t="shared" si="316"/>
        <v>56.439999999999969</v>
      </c>
      <c r="K165" s="245">
        <f t="shared" si="316"/>
        <v>58.800000000000011</v>
      </c>
      <c r="L165" s="245">
        <f t="shared" si="316"/>
        <v>61.160000000000004</v>
      </c>
      <c r="M165" s="245">
        <f t="shared" si="316"/>
        <v>63.519999999999996</v>
      </c>
      <c r="N165" s="245">
        <f t="shared" si="316"/>
        <v>65.88</v>
      </c>
      <c r="O165" s="245">
        <f t="shared" si="316"/>
        <v>68.239999999999981</v>
      </c>
      <c r="P165" s="245">
        <f t="shared" si="316"/>
        <v>70.599999999999966</v>
      </c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  <c r="AA165" s="223"/>
      <c r="AB165" s="223"/>
      <c r="AC165" s="223"/>
      <c r="AD165" s="273"/>
      <c r="AE165" s="223"/>
      <c r="AF165" s="273"/>
      <c r="AG165" s="273"/>
      <c r="AH165" s="273"/>
      <c r="AI165" s="273"/>
      <c r="AJ165" s="273"/>
    </row>
    <row r="166" spans="1:36" ht="15.75" customHeight="1">
      <c r="A166" s="250" t="s">
        <v>336</v>
      </c>
      <c r="B166" s="242"/>
      <c r="C166" s="246">
        <f t="shared" ref="C166:P166" si="317">C165/B165-1</f>
        <v>0.15625</v>
      </c>
      <c r="D166" s="246">
        <f t="shared" si="317"/>
        <v>0.2432432432432432</v>
      </c>
      <c r="E166" s="246">
        <f t="shared" si="317"/>
        <v>4.3478260869565188E-2</v>
      </c>
      <c r="F166" s="246">
        <f t="shared" si="317"/>
        <v>-2.083333333333337E-2</v>
      </c>
      <c r="G166" s="246">
        <f t="shared" si="317"/>
        <v>5.0212765957446726E-2</v>
      </c>
      <c r="H166" s="246">
        <f t="shared" si="317"/>
        <v>4.7811993517017592E-2</v>
      </c>
      <c r="I166" s="246">
        <f t="shared" si="317"/>
        <v>4.5630317092033801E-2</v>
      </c>
      <c r="J166" s="246">
        <f t="shared" si="317"/>
        <v>4.3639053254437732E-2</v>
      </c>
      <c r="K166" s="246">
        <f t="shared" si="317"/>
        <v>4.1814316087881664E-2</v>
      </c>
      <c r="L166" s="246">
        <f t="shared" si="317"/>
        <v>4.0136054421768597E-2</v>
      </c>
      <c r="M166" s="246">
        <f t="shared" si="317"/>
        <v>3.8587311968606874E-2</v>
      </c>
      <c r="N166" s="246">
        <f t="shared" si="317"/>
        <v>3.715365239294699E-2</v>
      </c>
      <c r="O166" s="246">
        <f t="shared" si="317"/>
        <v>3.5822707953855337E-2</v>
      </c>
      <c r="P166" s="246">
        <f t="shared" si="317"/>
        <v>3.4583821805392434E-2</v>
      </c>
      <c r="Q166" s="223"/>
      <c r="R166" s="261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73"/>
      <c r="AE166" s="223"/>
      <c r="AF166" s="273"/>
      <c r="AG166" s="273"/>
      <c r="AH166" s="273"/>
      <c r="AI166" s="273"/>
      <c r="AJ166" s="273"/>
    </row>
    <row r="167" spans="1:36" ht="15.75" customHeight="1">
      <c r="A167" s="223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  <c r="AA167" s="223"/>
      <c r="AB167" s="223"/>
      <c r="AC167" s="223"/>
      <c r="AD167" s="273"/>
      <c r="AE167" s="223"/>
      <c r="AF167" s="273"/>
      <c r="AG167" s="273"/>
      <c r="AH167" s="273"/>
      <c r="AI167" s="273"/>
      <c r="AJ167" s="273"/>
    </row>
    <row r="168" spans="1:36" ht="15.75" customHeight="1">
      <c r="A168" s="223" t="s">
        <v>300</v>
      </c>
      <c r="B168" s="247">
        <f>SUM(B165,B152,B135,B138)</f>
        <v>521</v>
      </c>
      <c r="C168" s="247">
        <f t="shared" ref="C168:P168" si="318">SUM(C165,C152,C135,C138)</f>
        <v>574</v>
      </c>
      <c r="D168" s="247">
        <f t="shared" si="318"/>
        <v>655</v>
      </c>
      <c r="E168" s="247">
        <f t="shared" si="318"/>
        <v>711</v>
      </c>
      <c r="F168" s="247">
        <f t="shared" si="318"/>
        <v>767</v>
      </c>
      <c r="G168" s="247">
        <f t="shared" si="318"/>
        <v>821.50000156401677</v>
      </c>
      <c r="H168" s="247">
        <f t="shared" si="318"/>
        <v>882.63430669918864</v>
      </c>
      <c r="I168" s="247">
        <f t="shared" si="318"/>
        <v>943.41243826437335</v>
      </c>
      <c r="J168" s="247">
        <f t="shared" si="318"/>
        <v>1002.6869348065995</v>
      </c>
      <c r="K168" s="247">
        <f t="shared" si="318"/>
        <v>1059.2004114369583</v>
      </c>
      <c r="L168" s="247">
        <f t="shared" si="318"/>
        <v>1111.6505079741994</v>
      </c>
      <c r="M168" s="247">
        <f t="shared" si="318"/>
        <v>1158.7687881387531</v>
      </c>
      <c r="N168" s="247">
        <f t="shared" si="318"/>
        <v>1199.4071902498786</v>
      </c>
      <c r="O168" s="247">
        <f t="shared" si="318"/>
        <v>1232.6236878424161</v>
      </c>
      <c r="P168" s="247">
        <f t="shared" si="318"/>
        <v>1257.7578095063695</v>
      </c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  <c r="AA168" s="223"/>
      <c r="AB168" s="223"/>
      <c r="AC168" s="223"/>
      <c r="AD168" s="273"/>
      <c r="AE168" s="223"/>
      <c r="AF168" s="273"/>
      <c r="AG168" s="273"/>
      <c r="AH168" s="273"/>
      <c r="AI168" s="273"/>
      <c r="AJ168" s="273"/>
    </row>
    <row r="169" spans="1:36" ht="15.75" customHeight="1">
      <c r="A169" s="250" t="s">
        <v>336</v>
      </c>
      <c r="B169" s="242"/>
      <c r="C169" s="251">
        <f>C168/B168-1</f>
        <v>0.10172744721689053</v>
      </c>
      <c r="D169" s="251">
        <f t="shared" ref="D169:P169" si="319">D168/C168-1</f>
        <v>0.14111498257839727</v>
      </c>
      <c r="E169" s="251">
        <f t="shared" si="319"/>
        <v>8.5496183206106968E-2</v>
      </c>
      <c r="F169" s="251">
        <f t="shared" si="319"/>
        <v>7.8762306610407951E-2</v>
      </c>
      <c r="G169" s="251">
        <f t="shared" si="319"/>
        <v>7.1056064620621529E-2</v>
      </c>
      <c r="H169" s="251">
        <f t="shared" si="319"/>
        <v>7.4417900205454579E-2</v>
      </c>
      <c r="I169" s="251">
        <f t="shared" si="319"/>
        <v>6.8859924324127242E-2</v>
      </c>
      <c r="J169" s="251">
        <f t="shared" si="319"/>
        <v>6.2829886630788367E-2</v>
      </c>
      <c r="K169" s="251">
        <f t="shared" si="319"/>
        <v>5.6362035515361786E-2</v>
      </c>
      <c r="L169" s="251">
        <f t="shared" si="319"/>
        <v>4.9518576438320139E-2</v>
      </c>
      <c r="M169" s="251">
        <f t="shared" si="319"/>
        <v>4.2385875620584157E-2</v>
      </c>
      <c r="N169" s="251">
        <f t="shared" si="319"/>
        <v>3.507032854794101E-2</v>
      </c>
      <c r="O169" s="251">
        <f t="shared" si="319"/>
        <v>2.7694095768775018E-2</v>
      </c>
      <c r="P169" s="251">
        <f t="shared" si="319"/>
        <v>2.0390750163132187E-2</v>
      </c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  <c r="AA169" s="223"/>
      <c r="AB169" s="223"/>
      <c r="AC169" s="223"/>
      <c r="AD169" s="273"/>
      <c r="AE169" s="223"/>
      <c r="AF169" s="273"/>
      <c r="AG169" s="273"/>
      <c r="AH169" s="273"/>
      <c r="AI169" s="273"/>
      <c r="AJ169" s="273"/>
    </row>
    <row r="170" spans="1:36" ht="15.75" customHeight="1">
      <c r="A170" s="223"/>
      <c r="B170" s="241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  <c r="AA170" s="223"/>
      <c r="AB170" s="223"/>
      <c r="AC170" s="223"/>
      <c r="AD170" s="273"/>
      <c r="AE170" s="223"/>
      <c r="AF170" s="273"/>
      <c r="AG170" s="273"/>
      <c r="AH170" s="273"/>
      <c r="AI170" s="273"/>
      <c r="AJ170" s="273"/>
    </row>
    <row r="171" spans="1:36" ht="15.75" customHeight="1">
      <c r="A171" s="226" t="s">
        <v>332</v>
      </c>
      <c r="B171" s="241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23"/>
      <c r="R171" s="223"/>
      <c r="S171" s="223"/>
      <c r="T171" s="223"/>
      <c r="U171" s="223"/>
      <c r="V171" s="223"/>
      <c r="W171" s="223"/>
      <c r="X171" s="223"/>
      <c r="Y171" s="223"/>
      <c r="Z171" s="223"/>
      <c r="AA171" s="223"/>
      <c r="AB171" s="223"/>
      <c r="AC171" s="223"/>
      <c r="AD171" s="273"/>
      <c r="AE171" s="223"/>
      <c r="AF171" s="273"/>
      <c r="AG171" s="273"/>
      <c r="AH171" s="273"/>
      <c r="AI171" s="273"/>
      <c r="AJ171" s="273"/>
    </row>
    <row r="172" spans="1:36" ht="15.75" customHeight="1">
      <c r="A172" s="223" t="s">
        <v>333</v>
      </c>
      <c r="B172" s="249">
        <v>3049.9059999999999</v>
      </c>
      <c r="C172" s="249">
        <v>4171.7619999999997</v>
      </c>
      <c r="D172" s="249">
        <v>5259.8029999999999</v>
      </c>
      <c r="E172" s="249">
        <v>6147.3720000000003</v>
      </c>
      <c r="F172" s="249">
        <v>6692.63</v>
      </c>
      <c r="G172" s="242">
        <f>F172*(1+G173)</f>
        <v>7256.1343170207329</v>
      </c>
      <c r="H172" s="242">
        <f t="shared" ref="H172:P172" si="320">G172*(1+H173)</f>
        <v>7834.431819282162</v>
      </c>
      <c r="I172" s="242">
        <f t="shared" si="320"/>
        <v>8423.5633820205694</v>
      </c>
      <c r="J172" s="242">
        <f t="shared" si="320"/>
        <v>9019.0902713004616</v>
      </c>
      <c r="K172" s="242">
        <f t="shared" si="320"/>
        <v>9616.1336592173284</v>
      </c>
      <c r="L172" s="242">
        <f t="shared" si="320"/>
        <v>10209.42736830544</v>
      </c>
      <c r="M172" s="242">
        <f t="shared" si="320"/>
        <v>10793.383534920849</v>
      </c>
      <c r="N172" s="242">
        <f t="shared" si="320"/>
        <v>11362.170448301373</v>
      </c>
      <c r="O172" s="242">
        <f t="shared" si="320"/>
        <v>11909.801379232302</v>
      </c>
      <c r="P172" s="242">
        <f t="shared" si="320"/>
        <v>12430.232776884179</v>
      </c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  <c r="AA172" s="223"/>
      <c r="AB172" s="223"/>
      <c r="AC172" s="223"/>
      <c r="AD172" s="273"/>
      <c r="AE172" s="223"/>
      <c r="AF172" s="273"/>
      <c r="AG172" s="273"/>
      <c r="AH172" s="273"/>
      <c r="AI172" s="273"/>
      <c r="AJ172" s="273"/>
    </row>
    <row r="173" spans="1:36" ht="15.75" customHeight="1">
      <c r="A173" s="236" t="s">
        <v>272</v>
      </c>
      <c r="B173" s="241"/>
      <c r="C173" s="251">
        <f>C172/B172-1</f>
        <v>0.36783297583597641</v>
      </c>
      <c r="D173" s="251">
        <f t="shared" ref="D173:F173" si="321">D172/C172-1</f>
        <v>0.26081089956713743</v>
      </c>
      <c r="E173" s="251">
        <f t="shared" si="321"/>
        <v>0.16874567355469394</v>
      </c>
      <c r="F173" s="251">
        <f t="shared" si="321"/>
        <v>8.8697739456795377E-2</v>
      </c>
      <c r="G173" s="246">
        <f>F173+$S173</f>
        <v>8.4197739456795373E-2</v>
      </c>
      <c r="H173" s="246">
        <f t="shared" ref="H173:P173" si="322">G173+$S173</f>
        <v>7.9697739456795369E-2</v>
      </c>
      <c r="I173" s="246">
        <f t="shared" si="322"/>
        <v>7.5197739456795365E-2</v>
      </c>
      <c r="J173" s="246">
        <f t="shared" si="322"/>
        <v>7.0697739456795361E-2</v>
      </c>
      <c r="K173" s="246">
        <f t="shared" si="322"/>
        <v>6.6197739456795357E-2</v>
      </c>
      <c r="L173" s="246">
        <f t="shared" si="322"/>
        <v>6.169773945679536E-2</v>
      </c>
      <c r="M173" s="246">
        <f t="shared" si="322"/>
        <v>5.7197739456795363E-2</v>
      </c>
      <c r="N173" s="246">
        <f t="shared" si="322"/>
        <v>5.2697739456795366E-2</v>
      </c>
      <c r="O173" s="246">
        <f t="shared" si="322"/>
        <v>4.8197739456795369E-2</v>
      </c>
      <c r="P173" s="246">
        <f t="shared" si="322"/>
        <v>4.3697739456795372E-2</v>
      </c>
      <c r="Q173" s="223"/>
      <c r="R173" s="227" t="s">
        <v>274</v>
      </c>
      <c r="S173" s="282">
        <v>-4.4999999999999997E-3</v>
      </c>
      <c r="T173" s="508"/>
      <c r="U173" s="508"/>
      <c r="V173" s="508"/>
      <c r="W173" s="508"/>
      <c r="X173" s="508"/>
      <c r="Y173" s="508"/>
      <c r="Z173" s="508"/>
      <c r="AA173" s="508"/>
      <c r="AB173" s="508"/>
      <c r="AC173" s="508"/>
      <c r="AD173" s="273"/>
      <c r="AE173" s="261" t="s">
        <v>456</v>
      </c>
      <c r="AF173" s="273"/>
      <c r="AG173" s="273"/>
      <c r="AH173" s="273"/>
      <c r="AI173" s="273"/>
      <c r="AJ173" s="273"/>
    </row>
    <row r="174" spans="1:36" ht="15.75" customHeight="1">
      <c r="A174" s="236" t="s">
        <v>304</v>
      </c>
      <c r="B174" s="246">
        <f>B172/B$90</f>
        <v>0.69286456988027156</v>
      </c>
      <c r="C174" s="246">
        <f t="shared" ref="C174:P174" si="323">C172/C$90</f>
        <v>0.66677599092289008</v>
      </c>
      <c r="D174" s="246">
        <f t="shared" si="323"/>
        <v>0.64851628465654099</v>
      </c>
      <c r="E174" s="246">
        <f t="shared" si="323"/>
        <v>0.63906792172967664</v>
      </c>
      <c r="F174" s="246">
        <f t="shared" si="323"/>
        <v>0.63208824677756947</v>
      </c>
      <c r="G174" s="246">
        <f t="shared" si="323"/>
        <v>0.61303057183044496</v>
      </c>
      <c r="H174" s="246">
        <f t="shared" si="323"/>
        <v>0.59537993778244591</v>
      </c>
      <c r="I174" s="246">
        <f t="shared" si="323"/>
        <v>0.57953241018001633</v>
      </c>
      <c r="J174" s="246">
        <f t="shared" si="323"/>
        <v>0.56583301556000076</v>
      </c>
      <c r="K174" s="246">
        <f t="shared" si="323"/>
        <v>0.55457314124877211</v>
      </c>
      <c r="L174" s="246">
        <f t="shared" si="323"/>
        <v>0.54599257773918064</v>
      </c>
      <c r="M174" s="246">
        <f t="shared" si="323"/>
        <v>0.54028415747613101</v>
      </c>
      <c r="N174" s="246">
        <f t="shared" si="323"/>
        <v>0.5375988406337161</v>
      </c>
      <c r="O174" s="246">
        <f t="shared" si="323"/>
        <v>0.53804926050155932</v>
      </c>
      <c r="P174" s="246">
        <f t="shared" si="323"/>
        <v>0.54171005443635312</v>
      </c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  <c r="AA174" s="223"/>
      <c r="AB174" s="223"/>
      <c r="AC174" s="223"/>
      <c r="AD174" s="273"/>
      <c r="AE174" s="261"/>
      <c r="AF174" s="273"/>
      <c r="AG174" s="273"/>
      <c r="AH174" s="273"/>
      <c r="AI174" s="273"/>
      <c r="AJ174" s="273"/>
    </row>
    <row r="175" spans="1:36" ht="15.75" customHeight="1">
      <c r="A175" s="223" t="s">
        <v>334</v>
      </c>
      <c r="B175" s="249">
        <v>953.18299999999999</v>
      </c>
      <c r="C175" s="249">
        <v>1535.85</v>
      </c>
      <c r="D175" s="249">
        <v>1956.6020000000001</v>
      </c>
      <c r="E175" s="249">
        <v>2252.7530000000002</v>
      </c>
      <c r="F175" s="249">
        <v>2558.38</v>
      </c>
      <c r="G175" s="242">
        <f>F175*(1+G176)</f>
        <v>3121.2236000000003</v>
      </c>
      <c r="H175" s="242">
        <f t="shared" ref="H175:P175" si="324">G175*(1+H176)</f>
        <v>3740.0061787000004</v>
      </c>
      <c r="I175" s="242">
        <f t="shared" si="324"/>
        <v>4400.1172692405507</v>
      </c>
      <c r="J175" s="242">
        <f t="shared" si="324"/>
        <v>5081.0354166555253</v>
      </c>
      <c r="K175" s="242">
        <f t="shared" si="324"/>
        <v>5756.8131270707099</v>
      </c>
      <c r="L175" s="242">
        <f t="shared" si="324"/>
        <v>6397.2585874573269</v>
      </c>
      <c r="M175" s="242">
        <f t="shared" si="324"/>
        <v>6969.8132310347582</v>
      </c>
      <c r="N175" s="242">
        <f t="shared" si="324"/>
        <v>7442.018077437363</v>
      </c>
      <c r="O175" s="242">
        <f t="shared" si="324"/>
        <v>7784.3509089994823</v>
      </c>
      <c r="P175" s="242">
        <f t="shared" si="324"/>
        <v>7973.1214185427207</v>
      </c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  <c r="AA175" s="223"/>
      <c r="AB175" s="223"/>
      <c r="AC175" s="223"/>
      <c r="AD175" s="273"/>
      <c r="AE175" s="261"/>
      <c r="AF175" s="273"/>
      <c r="AG175" s="273"/>
      <c r="AH175" s="273"/>
      <c r="AI175" s="273"/>
      <c r="AJ175" s="273"/>
    </row>
    <row r="176" spans="1:36" ht="15.75" customHeight="1">
      <c r="A176" s="236" t="s">
        <v>272</v>
      </c>
      <c r="B176" s="242"/>
      <c r="C176" s="251">
        <f>C175/B175-1</f>
        <v>0.61128555586912481</v>
      </c>
      <c r="D176" s="251">
        <f t="shared" ref="D176:F176" si="325">D175/C175-1</f>
        <v>0.27395383663769257</v>
      </c>
      <c r="E176" s="251">
        <f t="shared" si="325"/>
        <v>0.15135985754895476</v>
      </c>
      <c r="F176" s="251">
        <f t="shared" si="325"/>
        <v>0.13566822461228556</v>
      </c>
      <c r="G176" s="274">
        <v>0.22</v>
      </c>
      <c r="H176" s="246">
        <f t="shared" ref="H176:P176" si="326">G176+$S176</f>
        <v>0.19825000000000001</v>
      </c>
      <c r="I176" s="246">
        <f t="shared" si="326"/>
        <v>0.17650000000000002</v>
      </c>
      <c r="J176" s="246">
        <f t="shared" si="326"/>
        <v>0.15475000000000003</v>
      </c>
      <c r="K176" s="246">
        <f t="shared" si="326"/>
        <v>0.13300000000000003</v>
      </c>
      <c r="L176" s="246">
        <f t="shared" si="326"/>
        <v>0.11125000000000004</v>
      </c>
      <c r="M176" s="246">
        <f t="shared" si="326"/>
        <v>8.9500000000000052E-2</v>
      </c>
      <c r="N176" s="246">
        <f t="shared" si="326"/>
        <v>6.775000000000006E-2</v>
      </c>
      <c r="O176" s="246">
        <f t="shared" si="326"/>
        <v>4.6000000000000062E-2</v>
      </c>
      <c r="P176" s="246">
        <f t="shared" si="326"/>
        <v>2.4250000000000063E-2</v>
      </c>
      <c r="Q176" s="223"/>
      <c r="R176" s="227" t="s">
        <v>274</v>
      </c>
      <c r="S176" s="282">
        <v>-2.1749999999999999E-2</v>
      </c>
      <c r="T176" s="508"/>
      <c r="U176" s="508"/>
      <c r="V176" s="508"/>
      <c r="W176" s="508"/>
      <c r="X176" s="508"/>
      <c r="Y176" s="508"/>
      <c r="Z176" s="508"/>
      <c r="AA176" s="508"/>
      <c r="AB176" s="508"/>
      <c r="AC176" s="508"/>
      <c r="AD176" s="273"/>
      <c r="AE176" s="261" t="s">
        <v>457</v>
      </c>
      <c r="AF176" s="273"/>
      <c r="AG176" s="273"/>
      <c r="AH176" s="273"/>
      <c r="AI176" s="273"/>
      <c r="AJ176" s="273"/>
    </row>
    <row r="177" spans="1:36" ht="15.75" customHeight="1">
      <c r="A177" s="236" t="s">
        <v>304</v>
      </c>
      <c r="B177" s="246">
        <f>B175/B$90</f>
        <v>0.216540027565501</v>
      </c>
      <c r="C177" s="246">
        <f>C175/C$90</f>
        <v>0.24547610953331486</v>
      </c>
      <c r="D177" s="246">
        <f>D175/D$90</f>
        <v>0.24124254455757327</v>
      </c>
      <c r="E177" s="246">
        <f>E175/E$90</f>
        <v>0.23419148505740245</v>
      </c>
      <c r="F177" s="246">
        <f>F175/F$90</f>
        <v>0.24162727190817337</v>
      </c>
      <c r="G177" s="246">
        <f t="shared" ref="G177:S177" si="327">G175/G$90</f>
        <v>0.26369488280149389</v>
      </c>
      <c r="H177" s="246">
        <f t="shared" si="327"/>
        <v>0.28422286355213894</v>
      </c>
      <c r="I177" s="246">
        <f t="shared" si="327"/>
        <v>0.30272349722689618</v>
      </c>
      <c r="J177" s="246">
        <f t="shared" si="327"/>
        <v>0.31877024239594537</v>
      </c>
      <c r="K177" s="246">
        <f t="shared" si="327"/>
        <v>0.33200182657627686</v>
      </c>
      <c r="L177" s="246">
        <f t="shared" si="327"/>
        <v>0.342120628378561</v>
      </c>
      <c r="M177" s="246">
        <f t="shared" si="327"/>
        <v>0.34888778454987235</v>
      </c>
      <c r="N177" s="246">
        <f t="shared" si="327"/>
        <v>0.35211760892071464</v>
      </c>
      <c r="O177" s="246">
        <f t="shared" si="327"/>
        <v>0.3516737279410273</v>
      </c>
      <c r="P177" s="246">
        <f t="shared" si="327"/>
        <v>0.34746895856193943</v>
      </c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  <c r="AA177" s="223"/>
      <c r="AB177" s="223"/>
      <c r="AC177" s="223"/>
      <c r="AD177" s="273"/>
      <c r="AE177" s="261"/>
      <c r="AF177" s="273"/>
      <c r="AG177" s="273"/>
      <c r="AH177" s="273"/>
      <c r="AI177" s="273"/>
      <c r="AJ177" s="273"/>
    </row>
    <row r="178" spans="1:36" ht="15.75" customHeight="1">
      <c r="A178" s="223" t="s">
        <v>273</v>
      </c>
      <c r="B178" s="279">
        <v>398.79</v>
      </c>
      <c r="C178" s="279">
        <v>549.005</v>
      </c>
      <c r="D178" s="279">
        <v>849.11300000000006</v>
      </c>
      <c r="E178" s="279">
        <v>1219.153</v>
      </c>
      <c r="F178" s="279">
        <v>1337.116</v>
      </c>
      <c r="G178" s="242">
        <f>F178*(1+G179)</f>
        <v>1459.1387447275984</v>
      </c>
      <c r="H178" s="242">
        <f t="shared" ref="H178:P178" si="328">G178*(1+H179)</f>
        <v>1584.2717974172456</v>
      </c>
      <c r="I178" s="242">
        <f t="shared" si="328"/>
        <v>1711.4225354683565</v>
      </c>
      <c r="J178" s="242">
        <f t="shared" si="328"/>
        <v>1839.3653337447079</v>
      </c>
      <c r="K178" s="242">
        <f t="shared" si="328"/>
        <v>1966.7563907608724</v>
      </c>
      <c r="L178" s="242">
        <f t="shared" si="328"/>
        <v>2092.1531577287346</v>
      </c>
      <c r="M178" s="242">
        <f t="shared" si="328"/>
        <v>2214.0381493540949</v>
      </c>
      <c r="N178" s="242">
        <f t="shared" si="328"/>
        <v>2330.8467263978941</v>
      </c>
      <c r="O178" s="242">
        <f t="shared" si="328"/>
        <v>2440.9982519440559</v>
      </c>
      <c r="P178" s="242">
        <f t="shared" si="328"/>
        <v>2542.9298454292029</v>
      </c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73"/>
      <c r="AE178" s="261"/>
      <c r="AF178" s="273"/>
      <c r="AG178" s="273"/>
      <c r="AH178" s="273"/>
      <c r="AI178" s="273"/>
      <c r="AJ178" s="273"/>
    </row>
    <row r="179" spans="1:36" ht="15.75" customHeight="1">
      <c r="A179" s="236" t="s">
        <v>272</v>
      </c>
      <c r="B179" s="263"/>
      <c r="C179" s="251">
        <f>C178/B178-1</f>
        <v>0.37667694776699512</v>
      </c>
      <c r="D179" s="251">
        <f t="shared" ref="D179:F179" si="329">D178/C178-1</f>
        <v>0.5466398302383404</v>
      </c>
      <c r="E179" s="251">
        <f t="shared" si="329"/>
        <v>0.43579594235396213</v>
      </c>
      <c r="F179" s="251">
        <f t="shared" si="329"/>
        <v>9.6758159148195411E-2</v>
      </c>
      <c r="G179" s="246">
        <f>F179+$S179</f>
        <v>9.1258159148195406E-2</v>
      </c>
      <c r="H179" s="246">
        <f t="shared" ref="H179:P179" si="330">G179+$S179</f>
        <v>8.5758159148195401E-2</v>
      </c>
      <c r="I179" s="246">
        <f t="shared" si="330"/>
        <v>8.0258159148195396E-2</v>
      </c>
      <c r="J179" s="246">
        <f t="shared" si="330"/>
        <v>7.4758159148195391E-2</v>
      </c>
      <c r="K179" s="246">
        <f t="shared" si="330"/>
        <v>6.9258159148195386E-2</v>
      </c>
      <c r="L179" s="246">
        <f t="shared" si="330"/>
        <v>6.3758159148195381E-2</v>
      </c>
      <c r="M179" s="246">
        <f t="shared" si="330"/>
        <v>5.8258159148195383E-2</v>
      </c>
      <c r="N179" s="246">
        <f t="shared" si="330"/>
        <v>5.2758159148195385E-2</v>
      </c>
      <c r="O179" s="246">
        <f t="shared" si="330"/>
        <v>4.7258159148195387E-2</v>
      </c>
      <c r="P179" s="246">
        <f t="shared" si="330"/>
        <v>4.175815914819539E-2</v>
      </c>
      <c r="Q179" s="223"/>
      <c r="R179" s="227" t="s">
        <v>274</v>
      </c>
      <c r="S179" s="282">
        <v>-5.4999999999999997E-3</v>
      </c>
      <c r="T179" s="508"/>
      <c r="U179" s="508"/>
      <c r="V179" s="508"/>
      <c r="W179" s="508"/>
      <c r="X179" s="508"/>
      <c r="Y179" s="508"/>
      <c r="Z179" s="508"/>
      <c r="AA179" s="508"/>
      <c r="AB179" s="508"/>
      <c r="AC179" s="508"/>
      <c r="AD179" s="273"/>
      <c r="AE179" s="261" t="s">
        <v>458</v>
      </c>
      <c r="AF179" s="273"/>
      <c r="AG179" s="273"/>
      <c r="AH179" s="273"/>
      <c r="AI179" s="273"/>
      <c r="AJ179" s="273"/>
    </row>
    <row r="180" spans="1:36" ht="15.75" customHeight="1">
      <c r="A180" s="236" t="s">
        <v>304</v>
      </c>
      <c r="B180" s="246">
        <f>B178/B$90</f>
        <v>9.0595402554227419E-2</v>
      </c>
      <c r="C180" s="246">
        <f t="shared" ref="C180:P180" si="331">C178/C$90</f>
        <v>8.7747899543794985E-2</v>
      </c>
      <c r="D180" s="246">
        <f t="shared" si="331"/>
        <v>0.10469281986674588</v>
      </c>
      <c r="E180" s="246">
        <f t="shared" si="331"/>
        <v>0.12674059321292097</v>
      </c>
      <c r="F180" s="246">
        <f t="shared" si="331"/>
        <v>0.12628448131425712</v>
      </c>
      <c r="G180" s="246">
        <f>G178/G$90</f>
        <v>0.12327454536806109</v>
      </c>
      <c r="H180" s="246">
        <f>H178/H$90</f>
        <v>0.12039719866541504</v>
      </c>
      <c r="I180" s="246">
        <f t="shared" si="331"/>
        <v>0.11774409259308749</v>
      </c>
      <c r="J180" s="246">
        <f t="shared" si="331"/>
        <v>0.11539674204405388</v>
      </c>
      <c r="K180" s="246">
        <f t="shared" si="331"/>
        <v>0.11342503217495097</v>
      </c>
      <c r="L180" s="246">
        <f t="shared" si="331"/>
        <v>0.11188679388225839</v>
      </c>
      <c r="M180" s="246">
        <f t="shared" si="331"/>
        <v>0.11082805797399671</v>
      </c>
      <c r="N180" s="246">
        <f t="shared" si="331"/>
        <v>0.11028355044556924</v>
      </c>
      <c r="O180" s="246">
        <f t="shared" si="331"/>
        <v>0.11027701155741337</v>
      </c>
      <c r="P180" s="246">
        <f t="shared" si="331"/>
        <v>0.11082098700170752</v>
      </c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73"/>
      <c r="AE180" s="273"/>
      <c r="AF180" s="273"/>
      <c r="AG180" s="273"/>
      <c r="AH180" s="273"/>
      <c r="AI180" s="273"/>
      <c r="AJ180" s="273"/>
    </row>
    <row r="181" spans="1:36" ht="15.75" customHeight="1">
      <c r="A181" s="262" t="s">
        <v>335</v>
      </c>
      <c r="B181" s="504">
        <f>$B$20</f>
        <v>4401.8789999999999</v>
      </c>
      <c r="C181" s="504">
        <f t="shared" ref="C181:F181" si="332">$B$20</f>
        <v>4401.8789999999999</v>
      </c>
      <c r="D181" s="504">
        <f t="shared" si="332"/>
        <v>4401.8789999999999</v>
      </c>
      <c r="E181" s="504">
        <f t="shared" si="332"/>
        <v>4401.8789999999999</v>
      </c>
      <c r="F181" s="504">
        <f t="shared" si="332"/>
        <v>4401.8789999999999</v>
      </c>
      <c r="G181" s="263">
        <f>SUM(G178,G175,G172)</f>
        <v>11836.496661748331</v>
      </c>
      <c r="H181" s="263">
        <f>SUM(H178,H175,H172)</f>
        <v>13158.709795399409</v>
      </c>
      <c r="I181" s="263">
        <f t="shared" ref="I181:Q181" si="333">SUM(I178,I175,I172)</f>
        <v>14535.103186729477</v>
      </c>
      <c r="J181" s="263">
        <f t="shared" si="333"/>
        <v>15939.491021700695</v>
      </c>
      <c r="K181" s="263">
        <f t="shared" si="333"/>
        <v>17339.703177048912</v>
      </c>
      <c r="L181" s="263">
        <f t="shared" si="333"/>
        <v>18698.8391134915</v>
      </c>
      <c r="M181" s="263">
        <f t="shared" si="333"/>
        <v>19977.234915309702</v>
      </c>
      <c r="N181" s="263">
        <f t="shared" si="333"/>
        <v>21135.035252136629</v>
      </c>
      <c r="O181" s="263">
        <f t="shared" si="333"/>
        <v>22135.15054017584</v>
      </c>
      <c r="P181" s="263">
        <f t="shared" si="333"/>
        <v>22946.284040856102</v>
      </c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73"/>
      <c r="AE181" s="273"/>
      <c r="AF181" s="273"/>
      <c r="AG181" s="273"/>
      <c r="AH181" s="273"/>
      <c r="AI181" s="273"/>
      <c r="AJ181" s="273"/>
    </row>
    <row r="182" spans="1:36" ht="15.75" customHeight="1">
      <c r="A182" s="262"/>
      <c r="B182" s="278"/>
      <c r="C182" s="278"/>
      <c r="D182" s="278"/>
      <c r="E182" s="278"/>
      <c r="F182" s="278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73"/>
      <c r="AE182" s="273"/>
      <c r="AF182" s="273"/>
      <c r="AG182" s="273"/>
      <c r="AH182" s="273"/>
      <c r="AI182" s="273"/>
      <c r="AJ182" s="273"/>
    </row>
    <row r="183" spans="1:36" ht="15.75" customHeight="1">
      <c r="A183" s="262"/>
      <c r="B183" s="278"/>
      <c r="C183" s="278"/>
      <c r="D183" s="278"/>
      <c r="E183" s="278"/>
      <c r="F183" s="278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73"/>
      <c r="AE183" s="273"/>
      <c r="AF183" s="273"/>
      <c r="AG183" s="273"/>
      <c r="AH183" s="273"/>
      <c r="AI183" s="273"/>
      <c r="AJ183" s="273"/>
    </row>
    <row r="184" spans="1:36" ht="15.75" customHeight="1">
      <c r="A184" s="262"/>
      <c r="B184" s="278"/>
      <c r="C184" s="278"/>
      <c r="D184" s="278"/>
      <c r="E184" s="278"/>
      <c r="F184" s="278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73"/>
      <c r="AE184" s="273"/>
      <c r="AF184" s="273"/>
      <c r="AG184" s="273"/>
      <c r="AH184" s="273"/>
      <c r="AI184" s="273"/>
      <c r="AJ184" s="273"/>
    </row>
    <row r="185" spans="1:36" ht="15.75" customHeight="1">
      <c r="A185" s="262"/>
      <c r="B185" s="278"/>
      <c r="C185" s="278"/>
      <c r="D185" s="278"/>
      <c r="E185" s="278"/>
      <c r="F185" s="278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73"/>
      <c r="AE185" s="273"/>
      <c r="AF185" s="273"/>
      <c r="AG185" s="273"/>
      <c r="AH185" s="273"/>
      <c r="AI185" s="273"/>
      <c r="AJ185" s="273"/>
    </row>
    <row r="186" spans="1:36" ht="15.75" customHeight="1">
      <c r="A186" s="262"/>
      <c r="B186" s="278"/>
      <c r="C186" s="278"/>
      <c r="D186" s="278"/>
      <c r="E186" s="278"/>
      <c r="F186" s="278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73"/>
      <c r="AE186" s="273"/>
      <c r="AF186" s="273"/>
      <c r="AG186" s="273"/>
      <c r="AH186" s="273"/>
      <c r="AI186" s="273"/>
      <c r="AJ186" s="273"/>
    </row>
    <row r="187" spans="1:36" ht="15.75" customHeight="1">
      <c r="A187" s="32" t="s">
        <v>47</v>
      </c>
      <c r="B187" s="36">
        <v>2020</v>
      </c>
      <c r="C187" s="36">
        <f>B187+1</f>
        <v>2021</v>
      </c>
      <c r="D187" s="36">
        <f t="shared" ref="D187:P187" si="334">C187+1</f>
        <v>2022</v>
      </c>
      <c r="E187" s="36">
        <f t="shared" si="334"/>
        <v>2023</v>
      </c>
      <c r="F187" s="36">
        <f t="shared" si="334"/>
        <v>2024</v>
      </c>
      <c r="G187" s="37">
        <f t="shared" si="334"/>
        <v>2025</v>
      </c>
      <c r="H187" s="37">
        <f t="shared" si="334"/>
        <v>2026</v>
      </c>
      <c r="I187" s="37">
        <f t="shared" si="334"/>
        <v>2027</v>
      </c>
      <c r="J187" s="37">
        <f t="shared" si="334"/>
        <v>2028</v>
      </c>
      <c r="K187" s="37">
        <f t="shared" si="334"/>
        <v>2029</v>
      </c>
      <c r="L187" s="37">
        <f t="shared" si="334"/>
        <v>2030</v>
      </c>
      <c r="M187" s="37">
        <f t="shared" si="334"/>
        <v>2031</v>
      </c>
      <c r="N187" s="37">
        <f t="shared" si="334"/>
        <v>2032</v>
      </c>
      <c r="O187" s="37">
        <f t="shared" si="334"/>
        <v>2033</v>
      </c>
      <c r="P187" s="37">
        <f t="shared" si="334"/>
        <v>2034</v>
      </c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73"/>
      <c r="AE187" s="273"/>
      <c r="AF187" s="273"/>
      <c r="AG187" s="273"/>
      <c r="AH187" s="273"/>
      <c r="AI187" s="273"/>
      <c r="AJ187" s="273"/>
    </row>
    <row r="188" spans="1:36" ht="15.75" customHeight="1">
      <c r="A188" s="211" t="s">
        <v>229</v>
      </c>
      <c r="B188" s="210">
        <f>EOMONTH(C188,-12)</f>
        <v>44227</v>
      </c>
      <c r="C188" s="209">
        <v>44591</v>
      </c>
      <c r="D188" s="209">
        <v>44955</v>
      </c>
      <c r="E188" s="209">
        <v>45319</v>
      </c>
      <c r="F188" s="209">
        <v>45690</v>
      </c>
      <c r="G188" s="209">
        <f>EOMONTH(F188,11)</f>
        <v>46053</v>
      </c>
      <c r="H188" s="209">
        <f>EOMONTH(G188,12)</f>
        <v>46418</v>
      </c>
      <c r="I188" s="209">
        <f t="shared" ref="I188:P188" si="335">EOMONTH(H188,12)</f>
        <v>46783</v>
      </c>
      <c r="J188" s="209">
        <f t="shared" si="335"/>
        <v>47149</v>
      </c>
      <c r="K188" s="209">
        <f t="shared" si="335"/>
        <v>47514</v>
      </c>
      <c r="L188" s="209">
        <f t="shared" si="335"/>
        <v>47879</v>
      </c>
      <c r="M188" s="209">
        <f t="shared" si="335"/>
        <v>48244</v>
      </c>
      <c r="N188" s="209">
        <f t="shared" si="335"/>
        <v>48610</v>
      </c>
      <c r="O188" s="209">
        <f t="shared" si="335"/>
        <v>48975</v>
      </c>
      <c r="P188" s="209">
        <f t="shared" si="335"/>
        <v>49340</v>
      </c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73"/>
      <c r="AE188" s="273"/>
      <c r="AF188" s="273"/>
      <c r="AG188" s="273"/>
      <c r="AH188" s="273"/>
      <c r="AI188" s="273"/>
      <c r="AJ188" s="273"/>
    </row>
    <row r="189" spans="1:36" ht="15.75" customHeight="1">
      <c r="A189" s="287" t="s">
        <v>455</v>
      </c>
      <c r="B189" s="287"/>
      <c r="C189" s="288"/>
      <c r="D189" s="288"/>
      <c r="E189" s="288"/>
      <c r="F189" s="288"/>
      <c r="G189" s="288"/>
      <c r="H189" s="505"/>
      <c r="I189" s="288"/>
      <c r="J189" s="288"/>
      <c r="K189" s="288"/>
      <c r="L189" s="288"/>
      <c r="M189" s="288"/>
      <c r="N189" s="288"/>
      <c r="O189" s="288"/>
      <c r="P189" s="288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73"/>
      <c r="AE189" s="273"/>
      <c r="AF189" s="273"/>
      <c r="AG189" s="273"/>
      <c r="AH189" s="273"/>
      <c r="AI189" s="273"/>
      <c r="AJ189" s="273"/>
    </row>
    <row r="190" spans="1:36" ht="15.75" customHeight="1">
      <c r="A190" s="226" t="s">
        <v>345</v>
      </c>
      <c r="B190" s="226"/>
      <c r="C190" s="223"/>
      <c r="D190" s="223"/>
      <c r="E190" s="223"/>
      <c r="F190" s="223"/>
      <c r="G190" s="223"/>
      <c r="H190" s="506"/>
      <c r="I190" s="223"/>
      <c r="J190" s="223"/>
      <c r="K190" s="223"/>
      <c r="L190" s="223"/>
      <c r="M190" s="223"/>
      <c r="N190" s="223"/>
      <c r="O190" s="223"/>
      <c r="P190" s="223"/>
      <c r="Q190" s="262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73"/>
      <c r="AE190" s="273"/>
      <c r="AF190" s="273"/>
      <c r="AG190" s="273"/>
      <c r="AH190" s="273"/>
      <c r="AI190" s="273"/>
      <c r="AJ190" s="273"/>
    </row>
    <row r="191" spans="1:36" ht="15.75" customHeight="1">
      <c r="A191" s="223" t="s">
        <v>279</v>
      </c>
      <c r="B191" s="248">
        <f>SUM(B192:B193)</f>
        <v>3777.74</v>
      </c>
      <c r="C191" s="248">
        <f t="shared" ref="C191:D191" si="336">SUM(C192:C193)</f>
        <v>5299.9059999999999</v>
      </c>
      <c r="D191" s="248">
        <f t="shared" si="336"/>
        <v>6817.4539999999997</v>
      </c>
      <c r="E191" s="249">
        <v>7631.6469999999999</v>
      </c>
      <c r="F191" s="249">
        <v>7928.1559999999999</v>
      </c>
      <c r="G191" s="242">
        <f t="shared" ref="G191:P191" si="337">G206*G226</f>
        <v>8501.5235000663015</v>
      </c>
      <c r="H191" s="242">
        <f t="shared" si="337"/>
        <v>9079.3258471678801</v>
      </c>
      <c r="I191" s="242">
        <f t="shared" si="337"/>
        <v>9656.8978017673853</v>
      </c>
      <c r="J191" s="242">
        <f t="shared" si="337"/>
        <v>10229.248839707876</v>
      </c>
      <c r="K191" s="242">
        <f t="shared" si="337"/>
        <v>10791.126414853161</v>
      </c>
      <c r="L191" s="242">
        <f t="shared" si="337"/>
        <v>11337.08922778639</v>
      </c>
      <c r="M191" s="242">
        <f t="shared" si="337"/>
        <v>11861.589294461903</v>
      </c>
      <c r="N191" s="242">
        <f t="shared" si="337"/>
        <v>12359.061262208668</v>
      </c>
      <c r="O191" s="242">
        <f t="shared" si="337"/>
        <v>12824.017104096783</v>
      </c>
      <c r="P191" s="242">
        <f t="shared" si="337"/>
        <v>13251.144050628796</v>
      </c>
      <c r="Q191" s="262"/>
      <c r="R191" s="223"/>
      <c r="S191" s="223"/>
      <c r="T191" s="223"/>
      <c r="U191" s="223"/>
      <c r="V191" s="223"/>
      <c r="W191" s="223"/>
      <c r="X191" s="223"/>
      <c r="Y191" s="223"/>
      <c r="Z191" s="223"/>
      <c r="AA191" s="223"/>
      <c r="AB191" s="223"/>
      <c r="AC191" s="223"/>
      <c r="AD191" s="273"/>
      <c r="AE191" s="273"/>
      <c r="AF191" s="273"/>
      <c r="AG191" s="273"/>
      <c r="AH191" s="273"/>
      <c r="AI191" s="273"/>
      <c r="AJ191" s="273"/>
    </row>
    <row r="192" spans="1:36" ht="15.75" customHeight="1">
      <c r="A192" s="223" t="s">
        <v>276</v>
      </c>
      <c r="B192" s="249">
        <v>3105.1329999999998</v>
      </c>
      <c r="C192" s="249">
        <v>4345.6869999999999</v>
      </c>
      <c r="D192" s="249">
        <v>5654.3429999999998</v>
      </c>
      <c r="E192" s="249"/>
      <c r="F192" s="249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62"/>
      <c r="R192" s="223"/>
      <c r="S192" s="223"/>
      <c r="T192" s="223"/>
      <c r="U192" s="223"/>
      <c r="V192" s="223"/>
      <c r="W192" s="223"/>
      <c r="X192" s="223"/>
      <c r="Y192" s="223"/>
      <c r="Z192" s="223"/>
      <c r="AA192" s="223"/>
      <c r="AB192" s="223"/>
      <c r="AC192" s="223"/>
      <c r="AD192" s="273"/>
      <c r="AE192" s="273"/>
      <c r="AF192" s="273"/>
      <c r="AG192" s="273"/>
      <c r="AH192" s="273"/>
      <c r="AI192" s="273"/>
      <c r="AJ192" s="273"/>
    </row>
    <row r="193" spans="1:36" ht="15.75" customHeight="1">
      <c r="A193" s="223" t="s">
        <v>277</v>
      </c>
      <c r="B193" s="249">
        <v>672.60699999999997</v>
      </c>
      <c r="C193" s="249">
        <v>954.21900000000005</v>
      </c>
      <c r="D193" s="249">
        <v>1163.1110000000001</v>
      </c>
      <c r="E193" s="249"/>
      <c r="F193" s="249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62"/>
      <c r="R193" s="223"/>
      <c r="S193" s="223"/>
      <c r="T193" s="223"/>
      <c r="U193" s="223"/>
      <c r="V193" s="223"/>
      <c r="W193" s="223"/>
      <c r="X193" s="223"/>
      <c r="Y193" s="223"/>
      <c r="Z193" s="223"/>
      <c r="AA193" s="223"/>
      <c r="AB193" s="223"/>
      <c r="AC193" s="223"/>
      <c r="AD193" s="273"/>
      <c r="AE193" s="273"/>
      <c r="AF193" s="273"/>
      <c r="AG193" s="273"/>
      <c r="AH193" s="273"/>
      <c r="AI193" s="273"/>
      <c r="AJ193" s="273"/>
    </row>
    <row r="194" spans="1:36" ht="15.75" customHeight="1">
      <c r="A194" s="250" t="s">
        <v>306</v>
      </c>
      <c r="B194" s="241"/>
      <c r="C194" s="251">
        <f>C191/B191-1</f>
        <v>0.40293032342088142</v>
      </c>
      <c r="D194" s="251">
        <f>D191/C191-1</f>
        <v>0.28633488971313836</v>
      </c>
      <c r="E194" s="246">
        <f>E191/D191-1</f>
        <v>0.11942772184454786</v>
      </c>
      <c r="F194" s="246">
        <f>F191/E191-1</f>
        <v>3.8852556990647047E-2</v>
      </c>
      <c r="G194" s="246">
        <f>G191/F191-1</f>
        <v>7.232041095890418E-2</v>
      </c>
      <c r="H194" s="246">
        <f t="shared" ref="H194:P194" si="338">H191/G191-1</f>
        <v>6.7964565068493021E-2</v>
      </c>
      <c r="I194" s="246">
        <f t="shared" si="338"/>
        <v>6.3613969178082597E-2</v>
      </c>
      <c r="J194" s="246">
        <f t="shared" si="338"/>
        <v>5.9268623287671129E-2</v>
      </c>
      <c r="K194" s="246">
        <f t="shared" si="338"/>
        <v>5.4928527397260174E-2</v>
      </c>
      <c r="L194" s="246">
        <f t="shared" si="338"/>
        <v>5.0593681506849286E-2</v>
      </c>
      <c r="M194" s="246">
        <f t="shared" si="338"/>
        <v>4.6264085616438688E-2</v>
      </c>
      <c r="N194" s="246">
        <f t="shared" si="338"/>
        <v>4.1939739726027492E-2</v>
      </c>
      <c r="O194" s="246">
        <f t="shared" si="338"/>
        <v>3.7620643835616363E-2</v>
      </c>
      <c r="P194" s="246">
        <f t="shared" si="338"/>
        <v>3.3306797945205746E-2</v>
      </c>
      <c r="Q194" s="262"/>
      <c r="R194" s="223"/>
      <c r="S194" s="223"/>
      <c r="T194" s="223"/>
      <c r="U194" s="223"/>
      <c r="V194" s="223"/>
      <c r="W194" s="223"/>
      <c r="X194" s="223"/>
      <c r="Y194" s="223"/>
      <c r="Z194" s="223"/>
      <c r="AA194" s="223"/>
      <c r="AB194" s="223"/>
      <c r="AC194" s="223"/>
      <c r="AD194" s="273"/>
      <c r="AE194" s="273"/>
      <c r="AF194" s="273"/>
      <c r="AG194" s="273"/>
      <c r="AH194" s="273"/>
      <c r="AI194" s="273"/>
      <c r="AJ194" s="273"/>
    </row>
    <row r="195" spans="1:36" ht="15.75" customHeight="1">
      <c r="A195" s="250" t="s">
        <v>304</v>
      </c>
      <c r="B195" s="246" t="e">
        <f>B191/B202</f>
        <v>#DIV/0!</v>
      </c>
      <c r="C195" s="246" t="e">
        <f t="shared" ref="C195:D195" si="339">C191/C202</f>
        <v>#DIV/0!</v>
      </c>
      <c r="D195" s="246" t="e">
        <f t="shared" si="339"/>
        <v>#DIV/0!</v>
      </c>
      <c r="E195" s="246" t="e">
        <f>E191/E202</f>
        <v>#DIV/0!</v>
      </c>
      <c r="F195" s="246" t="e">
        <f>F191/F202</f>
        <v>#DIV/0!</v>
      </c>
      <c r="G195" s="246">
        <f>G191/G$20</f>
        <v>0.71122451914736173</v>
      </c>
      <c r="H195" s="246">
        <f t="shared" ref="H195:P195" si="340">H191/H$20</f>
        <v>0.67421966439397329</v>
      </c>
      <c r="I195" s="246">
        <f t="shared" si="340"/>
        <v>0.64886196449819045</v>
      </c>
      <c r="J195" s="246">
        <f t="shared" si="340"/>
        <v>0.63313522445183923</v>
      </c>
      <c r="K195" s="246">
        <f t="shared" si="340"/>
        <v>0.62551483385913975</v>
      </c>
      <c r="L195" s="246">
        <f t="shared" si="340"/>
        <v>0.62480913467536514</v>
      </c>
      <c r="M195" s="246">
        <f t="shared" si="340"/>
        <v>0.6300383353506549</v>
      </c>
      <c r="N195" s="246">
        <f t="shared" si="340"/>
        <v>0.64033808130755066</v>
      </c>
      <c r="O195" s="246">
        <f t="shared" si="340"/>
        <v>0.65487967734505437</v>
      </c>
      <c r="P195" s="246">
        <f t="shared" si="340"/>
        <v>0.67280262890673093</v>
      </c>
      <c r="Q195" s="262"/>
      <c r="R195" s="223"/>
      <c r="S195" s="223"/>
      <c r="T195" s="223"/>
      <c r="U195" s="223"/>
      <c r="V195" s="223"/>
      <c r="W195" s="223"/>
      <c r="X195" s="223"/>
      <c r="Y195" s="223"/>
      <c r="Z195" s="223"/>
      <c r="AA195" s="223"/>
      <c r="AB195" s="223"/>
      <c r="AC195" s="223"/>
      <c r="AD195" s="273"/>
      <c r="AE195" s="273"/>
      <c r="AF195" s="273"/>
      <c r="AG195" s="273"/>
      <c r="AH195" s="273"/>
      <c r="AI195" s="273"/>
      <c r="AJ195" s="273"/>
    </row>
    <row r="196" spans="1:36" ht="15.75" customHeight="1">
      <c r="A196" s="223" t="s">
        <v>280</v>
      </c>
      <c r="B196" s="249">
        <v>297.69</v>
      </c>
      <c r="C196" s="249">
        <v>520.37199999999996</v>
      </c>
      <c r="D196" s="249">
        <v>681.63300000000004</v>
      </c>
      <c r="E196" s="249">
        <v>963.76</v>
      </c>
      <c r="F196" s="249">
        <v>1361.337</v>
      </c>
      <c r="G196" s="242">
        <f t="shared" ref="G196:P196" si="341">G211*G229</f>
        <v>1861.9337359530643</v>
      </c>
      <c r="H196" s="242">
        <f t="shared" si="341"/>
        <v>2464.535894787648</v>
      </c>
      <c r="I196" s="242">
        <f t="shared" si="341"/>
        <v>3155.3047251714988</v>
      </c>
      <c r="J196" s="242">
        <f t="shared" si="341"/>
        <v>3905.1483350885801</v>
      </c>
      <c r="K196" s="242">
        <f t="shared" si="341"/>
        <v>4669.4980915999568</v>
      </c>
      <c r="L196" s="242">
        <f t="shared" si="341"/>
        <v>5391.0923971960683</v>
      </c>
      <c r="M196" s="242">
        <f t="shared" si="341"/>
        <v>6006.000086330675</v>
      </c>
      <c r="N196" s="242">
        <f t="shared" si="341"/>
        <v>6452.2927076038986</v>
      </c>
      <c r="O196" s="242">
        <f t="shared" si="341"/>
        <v>6679.9111846985097</v>
      </c>
      <c r="P196" s="242">
        <f t="shared" si="341"/>
        <v>6659.6576868684224</v>
      </c>
      <c r="Q196" s="262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3"/>
      <c r="AD196" s="273"/>
      <c r="AE196" s="273"/>
      <c r="AF196" s="273"/>
      <c r="AG196" s="273"/>
      <c r="AH196" s="273"/>
      <c r="AI196" s="273"/>
      <c r="AJ196" s="273"/>
    </row>
    <row r="197" spans="1:36" ht="15.75" customHeight="1">
      <c r="A197" s="250" t="s">
        <v>306</v>
      </c>
      <c r="B197" s="242"/>
      <c r="C197" s="251">
        <f t="shared" ref="C197:P197" si="342">C196/B196-1</f>
        <v>0.74803318888776893</v>
      </c>
      <c r="D197" s="251">
        <f t="shared" si="342"/>
        <v>0.3098956131382935</v>
      </c>
      <c r="E197" s="246">
        <f t="shared" si="342"/>
        <v>0.41389868154857523</v>
      </c>
      <c r="F197" s="246">
        <f t="shared" si="342"/>
        <v>0.41252697767078939</v>
      </c>
      <c r="G197" s="246">
        <f t="shared" si="342"/>
        <v>0.36772432979715108</v>
      </c>
      <c r="H197" s="246">
        <f t="shared" si="342"/>
        <v>0.32364318192351282</v>
      </c>
      <c r="I197" s="246">
        <f t="shared" si="342"/>
        <v>0.28028353404987416</v>
      </c>
      <c r="J197" s="246">
        <f t="shared" si="342"/>
        <v>0.23764538617623554</v>
      </c>
      <c r="K197" s="246">
        <f t="shared" si="342"/>
        <v>0.1957287383025974</v>
      </c>
      <c r="L197" s="246">
        <f t="shared" si="342"/>
        <v>0.15453359042895864</v>
      </c>
      <c r="M197" s="246">
        <f t="shared" si="342"/>
        <v>0.11405994255532015</v>
      </c>
      <c r="N197" s="246">
        <f t="shared" si="342"/>
        <v>7.4307794681681916E-2</v>
      </c>
      <c r="O197" s="246">
        <f t="shared" si="342"/>
        <v>3.5277146808043502E-2</v>
      </c>
      <c r="P197" s="246">
        <f t="shared" si="342"/>
        <v>-3.0320010655952023E-3</v>
      </c>
      <c r="Q197" s="262"/>
      <c r="R197" s="223"/>
      <c r="S197" s="223"/>
      <c r="T197" s="223"/>
      <c r="U197" s="223"/>
      <c r="V197" s="223"/>
      <c r="W197" s="223"/>
      <c r="X197" s="223"/>
      <c r="Y197" s="223"/>
      <c r="Z197" s="223"/>
      <c r="AA197" s="223"/>
      <c r="AB197" s="223"/>
      <c r="AC197" s="223"/>
      <c r="AD197" s="273"/>
      <c r="AE197" s="273"/>
      <c r="AF197" s="273"/>
      <c r="AG197" s="273"/>
      <c r="AH197" s="273"/>
      <c r="AI197" s="273"/>
      <c r="AJ197" s="273"/>
    </row>
    <row r="198" spans="1:36" ht="15.75" customHeight="1">
      <c r="A198" s="250" t="s">
        <v>304</v>
      </c>
      <c r="B198" s="246" t="e">
        <f>B196/B202</f>
        <v>#DIV/0!</v>
      </c>
      <c r="C198" s="246" t="e">
        <f t="shared" ref="C198:F198" si="343">C196/C202</f>
        <v>#DIV/0!</v>
      </c>
      <c r="D198" s="246" t="e">
        <f t="shared" si="343"/>
        <v>#DIV/0!</v>
      </c>
      <c r="E198" s="246" t="e">
        <f t="shared" si="343"/>
        <v>#DIV/0!</v>
      </c>
      <c r="F198" s="246" t="e">
        <f t="shared" si="343"/>
        <v>#DIV/0!</v>
      </c>
      <c r="G198" s="246">
        <f>G196/G$20</f>
        <v>0.15576654302339357</v>
      </c>
      <c r="H198" s="246">
        <f t="shared" ref="H198:P198" si="344">H196/H$20</f>
        <v>0.18301342983399421</v>
      </c>
      <c r="I198" s="246">
        <f t="shared" si="344"/>
        <v>0.21200982599096146</v>
      </c>
      <c r="J198" s="246">
        <f t="shared" si="344"/>
        <v>0.24170757857178524</v>
      </c>
      <c r="K198" s="246">
        <f t="shared" si="344"/>
        <v>0.27067056863984129</v>
      </c>
      <c r="L198" s="246">
        <f t="shared" si="344"/>
        <v>0.29711363366456534</v>
      </c>
      <c r="M198" s="246">
        <f t="shared" si="344"/>
        <v>0.31901376810225573</v>
      </c>
      <c r="N198" s="246">
        <f t="shared" si="344"/>
        <v>0.33430117747336263</v>
      </c>
      <c r="O198" s="246">
        <f t="shared" si="344"/>
        <v>0.34112073040915408</v>
      </c>
      <c r="P198" s="246">
        <f t="shared" si="344"/>
        <v>0.33813195164317739</v>
      </c>
      <c r="Q198" s="262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3"/>
      <c r="AD198" s="273"/>
      <c r="AE198" s="273"/>
      <c r="AF198" s="273"/>
      <c r="AG198" s="273"/>
      <c r="AH198" s="273"/>
      <c r="AI198" s="273"/>
      <c r="AJ198" s="273"/>
    </row>
    <row r="199" spans="1:36" ht="15.75" customHeight="1">
      <c r="A199" s="223" t="s">
        <v>303</v>
      </c>
      <c r="B199" s="249">
        <v>326.44900000000001</v>
      </c>
      <c r="C199" s="249">
        <v>436.339</v>
      </c>
      <c r="D199" s="249">
        <v>611.43100000000004</v>
      </c>
      <c r="E199" s="249">
        <v>1023.871</v>
      </c>
      <c r="F199" s="249">
        <v>1298.633</v>
      </c>
      <c r="G199" s="242">
        <f>G216*(G243+G256)</f>
        <v>1586.7170377095313</v>
      </c>
      <c r="H199" s="242">
        <f t="shared" ref="H199:P199" si="345">H216*(H243+H256)</f>
        <v>1870.0025381551179</v>
      </c>
      <c r="I199" s="242">
        <f t="shared" si="345"/>
        <v>2166.5730522517947</v>
      </c>
      <c r="J199" s="242">
        <f t="shared" si="345"/>
        <v>2466.996203404005</v>
      </c>
      <c r="K199" s="242">
        <f t="shared" si="345"/>
        <v>2759.9341399880591</v>
      </c>
      <c r="L199" s="242">
        <f t="shared" si="345"/>
        <v>3032.706803188601</v>
      </c>
      <c r="M199" s="242">
        <f t="shared" si="345"/>
        <v>3272.0882829289508</v>
      </c>
      <c r="N199" s="242">
        <f t="shared" si="345"/>
        <v>3465.2825982109039</v>
      </c>
      <c r="O199" s="242">
        <f t="shared" si="345"/>
        <v>3600.9908252510286</v>
      </c>
      <c r="P199" s="242">
        <f t="shared" si="345"/>
        <v>3670.4549977048605</v>
      </c>
      <c r="Q199" s="262"/>
      <c r="R199" s="223"/>
      <c r="S199" s="223"/>
      <c r="T199" s="223"/>
      <c r="U199" s="223"/>
      <c r="V199" s="223"/>
      <c r="W199" s="223"/>
      <c r="X199" s="223"/>
      <c r="Y199" s="223"/>
      <c r="Z199" s="223"/>
      <c r="AA199" s="223"/>
      <c r="AB199" s="223"/>
      <c r="AC199" s="223"/>
      <c r="AD199" s="273"/>
      <c r="AE199" s="273"/>
      <c r="AF199" s="273"/>
      <c r="AG199" s="273"/>
      <c r="AH199" s="273"/>
      <c r="AI199" s="273"/>
      <c r="AJ199" s="273"/>
    </row>
    <row r="200" spans="1:36" ht="15.75" customHeight="1">
      <c r="A200" s="250" t="s">
        <v>306</v>
      </c>
      <c r="B200" s="241"/>
      <c r="C200" s="246">
        <v>0.53</v>
      </c>
      <c r="D200" s="246">
        <f t="shared" ref="D200:P200" si="346">D199/C199-1</f>
        <v>0.40127515532647795</v>
      </c>
      <c r="E200" s="246">
        <f t="shared" si="346"/>
        <v>0.67454872258684939</v>
      </c>
      <c r="F200" s="246">
        <f t="shared" si="346"/>
        <v>0.26835607220050184</v>
      </c>
      <c r="G200" s="246">
        <f t="shared" si="346"/>
        <v>0.22183637541132195</v>
      </c>
      <c r="H200" s="246">
        <f t="shared" si="346"/>
        <v>0.17853561392049899</v>
      </c>
      <c r="I200" s="246">
        <f t="shared" si="346"/>
        <v>0.15859364254620933</v>
      </c>
      <c r="J200" s="246">
        <f t="shared" si="346"/>
        <v>0.13866283015011649</v>
      </c>
      <c r="K200" s="246">
        <f t="shared" si="346"/>
        <v>0.11874275938481516</v>
      </c>
      <c r="L200" s="246">
        <f t="shared" si="346"/>
        <v>9.8833033458444186E-2</v>
      </c>
      <c r="M200" s="246">
        <f t="shared" si="346"/>
        <v>7.893327488455637E-2</v>
      </c>
      <c r="N200" s="246">
        <f t="shared" si="346"/>
        <v>5.9043124322128326E-2</v>
      </c>
      <c r="O200" s="246">
        <f t="shared" si="346"/>
        <v>3.9162239498212958E-2</v>
      </c>
      <c r="P200" s="246">
        <f t="shared" si="346"/>
        <v>1.9290294206453451E-2</v>
      </c>
      <c r="Q200" s="262"/>
      <c r="R200" s="223"/>
      <c r="S200" s="223"/>
      <c r="T200" s="223"/>
      <c r="U200" s="223"/>
      <c r="V200" s="223"/>
      <c r="W200" s="223"/>
      <c r="X200" s="223"/>
      <c r="Y200" s="223"/>
      <c r="Z200" s="223"/>
      <c r="AA200" s="223"/>
      <c r="AB200" s="223"/>
      <c r="AC200" s="223"/>
      <c r="AD200" s="273"/>
      <c r="AE200" s="273"/>
      <c r="AF200" s="273"/>
      <c r="AG200" s="273"/>
      <c r="AH200" s="273"/>
      <c r="AI200" s="273"/>
      <c r="AJ200" s="273"/>
    </row>
    <row r="201" spans="1:36" ht="15.75" customHeight="1">
      <c r="A201" s="250" t="s">
        <v>304</v>
      </c>
      <c r="B201" s="246" t="e">
        <f>B199/B202</f>
        <v>#DIV/0!</v>
      </c>
      <c r="C201" s="246" t="e">
        <f>C199/C202</f>
        <v>#DIV/0!</v>
      </c>
      <c r="D201" s="246" t="e">
        <f t="shared" ref="D201:F201" si="347">D199/D202</f>
        <v>#DIV/0!</v>
      </c>
      <c r="E201" s="246" t="e">
        <f t="shared" si="347"/>
        <v>#DIV/0!</v>
      </c>
      <c r="F201" s="246" t="e">
        <f t="shared" si="347"/>
        <v>#DIV/0!</v>
      </c>
      <c r="G201" s="246">
        <f>G199/G$20</f>
        <v>0.13274233284882253</v>
      </c>
      <c r="H201" s="246">
        <f t="shared" ref="H201:P201" si="348">H199/H$20</f>
        <v>0.1388641078548912</v>
      </c>
      <c r="I201" s="246">
        <f t="shared" si="348"/>
        <v>0.14557540897405505</v>
      </c>
      <c r="J201" s="246">
        <f t="shared" si="348"/>
        <v>0.15269373337569872</v>
      </c>
      <c r="K201" s="246">
        <f t="shared" si="348"/>
        <v>0.15998142164849155</v>
      </c>
      <c r="L201" s="246">
        <f t="shared" si="348"/>
        <v>0.16713839640427192</v>
      </c>
      <c r="M201" s="246">
        <f t="shared" si="348"/>
        <v>0.1737997332161432</v>
      </c>
      <c r="N201" s="246">
        <f t="shared" si="348"/>
        <v>0.17954053006532866</v>
      </c>
      <c r="O201" s="246">
        <f t="shared" si="348"/>
        <v>0.18389056179670368</v>
      </c>
      <c r="P201" s="246">
        <f t="shared" si="348"/>
        <v>0.18636064646980396</v>
      </c>
      <c r="Q201" s="262"/>
      <c r="R201" s="223"/>
      <c r="S201" s="223"/>
      <c r="T201" s="223"/>
      <c r="U201" s="223"/>
      <c r="V201" s="223"/>
      <c r="W201" s="223"/>
      <c r="X201" s="223"/>
      <c r="Y201" s="223"/>
      <c r="Z201" s="223"/>
      <c r="AA201" s="223"/>
      <c r="AB201" s="223"/>
      <c r="AC201" s="223"/>
      <c r="AD201" s="273"/>
      <c r="AE201" s="273"/>
      <c r="AF201" s="273"/>
      <c r="AG201" s="273"/>
      <c r="AH201" s="273"/>
      <c r="AI201" s="273"/>
      <c r="AJ201" s="273"/>
    </row>
    <row r="202" spans="1:36" ht="15.75" customHeight="1">
      <c r="A202" s="223" t="s">
        <v>305</v>
      </c>
      <c r="B202" s="243">
        <f>'Financial Statements'!C192</f>
        <v>0</v>
      </c>
      <c r="C202" s="243">
        <f>'Financial Statements'!D192</f>
        <v>0</v>
      </c>
      <c r="D202" s="243">
        <f>'Financial Statements'!E192</f>
        <v>0</v>
      </c>
      <c r="E202" s="243">
        <f>'Financial Statements'!F192</f>
        <v>0</v>
      </c>
      <c r="F202" s="243">
        <f>'Financial Statements'!G192</f>
        <v>0</v>
      </c>
      <c r="G202" s="242">
        <f>SUM(G199+G196+G191)</f>
        <v>11950.174273728897</v>
      </c>
      <c r="H202" s="242">
        <f t="shared" ref="H202" si="349">SUM(H199+H196+H191)</f>
        <v>13413.864280110647</v>
      </c>
      <c r="I202" s="242">
        <f>H202*(1+I203)</f>
        <v>14769.774343329294</v>
      </c>
      <c r="J202" s="242">
        <f t="shared" ref="J202:P202" si="350">I202*(1+J203)</f>
        <v>15973.255924482268</v>
      </c>
      <c r="K202" s="242">
        <f t="shared" si="350"/>
        <v>16990.476518678945</v>
      </c>
      <c r="L202" s="242">
        <f t="shared" si="350"/>
        <v>17800.628876207549</v>
      </c>
      <c r="M202" s="242">
        <f t="shared" si="350"/>
        <v>18396.642582349672</v>
      </c>
      <c r="N202" s="242">
        <f t="shared" si="350"/>
        <v>18784.494088333027</v>
      </c>
      <c r="O202" s="242">
        <f t="shared" si="350"/>
        <v>18981.406926773325</v>
      </c>
      <c r="P202" s="242">
        <f t="shared" si="350"/>
        <v>19013.347568992525</v>
      </c>
      <c r="Q202" s="262"/>
      <c r="R202" s="223"/>
      <c r="S202" s="223"/>
      <c r="T202" s="223"/>
      <c r="U202" s="223"/>
      <c r="V202" s="223"/>
      <c r="W202" s="223"/>
      <c r="X202" s="223"/>
      <c r="Y202" s="223"/>
      <c r="Z202" s="223"/>
      <c r="AA202" s="223"/>
      <c r="AB202" s="223"/>
      <c r="AC202" s="223"/>
      <c r="AD202" s="273"/>
      <c r="AE202" s="273"/>
      <c r="AF202" s="273"/>
      <c r="AG202" s="273"/>
      <c r="AH202" s="273"/>
      <c r="AI202" s="273"/>
      <c r="AJ202" s="273"/>
    </row>
    <row r="203" spans="1:36" ht="15.75" customHeight="1">
      <c r="A203" s="250" t="s">
        <v>336</v>
      </c>
      <c r="B203" s="243"/>
      <c r="C203" s="246">
        <v>0.53</v>
      </c>
      <c r="D203" s="246" t="e">
        <f t="shared" ref="D203:G203" si="351">D202/C202-1</f>
        <v>#DIV/0!</v>
      </c>
      <c r="E203" s="246" t="e">
        <f t="shared" si="351"/>
        <v>#DIV/0!</v>
      </c>
      <c r="F203" s="246" t="e">
        <f t="shared" si="351"/>
        <v>#DIV/0!</v>
      </c>
      <c r="G203" s="246" t="e">
        <f t="shared" si="351"/>
        <v>#DIV/0!</v>
      </c>
      <c r="H203" s="246">
        <f>H202/G202-1</f>
        <v>0.12248273312628633</v>
      </c>
      <c r="I203" s="246">
        <f>H203+$S$21-($S$22*I204)</f>
        <v>0.10108273312628634</v>
      </c>
      <c r="J203" s="246">
        <f t="shared" ref="J203:P203" si="352">I203+$S$21-($S$22*J204)</f>
        <v>8.148273312628633E-2</v>
      </c>
      <c r="K203" s="246">
        <f t="shared" si="352"/>
        <v>6.3682733126286334E-2</v>
      </c>
      <c r="L203" s="246">
        <f t="shared" si="352"/>
        <v>4.7682733126286334E-2</v>
      </c>
      <c r="M203" s="246">
        <f t="shared" si="352"/>
        <v>3.3482733126286329E-2</v>
      </c>
      <c r="N203" s="246">
        <f t="shared" si="352"/>
        <v>2.1082733126286328E-2</v>
      </c>
      <c r="O203" s="246">
        <f t="shared" si="352"/>
        <v>1.0482733126286326E-2</v>
      </c>
      <c r="P203" s="246">
        <f t="shared" si="352"/>
        <v>1.6827331262863239E-3</v>
      </c>
      <c r="Q203" s="262"/>
      <c r="R203" s="227" t="s">
        <v>274</v>
      </c>
      <c r="S203" s="282">
        <v>-2.4500000000000001E-2</v>
      </c>
      <c r="T203" s="508"/>
      <c r="U203" s="508"/>
      <c r="V203" s="508"/>
      <c r="W203" s="508"/>
      <c r="X203" s="508"/>
      <c r="Y203" s="508"/>
      <c r="Z203" s="508"/>
      <c r="AA203" s="508"/>
      <c r="AB203" s="508"/>
      <c r="AC203" s="508"/>
      <c r="AD203" s="273"/>
      <c r="AE203" s="261" t="s">
        <v>450</v>
      </c>
      <c r="AF203" s="223"/>
      <c r="AG203" s="223"/>
      <c r="AH203" s="273"/>
      <c r="AI203" s="273"/>
      <c r="AJ203" s="273"/>
    </row>
    <row r="204" spans="1:36" ht="15.75" customHeight="1">
      <c r="A204" s="250"/>
      <c r="B204" s="249"/>
      <c r="C204" s="251"/>
      <c r="D204" s="251"/>
      <c r="E204" s="251"/>
      <c r="F204" s="251"/>
      <c r="G204" s="242"/>
      <c r="H204" s="346">
        <v>1</v>
      </c>
      <c r="I204" s="346">
        <v>2</v>
      </c>
      <c r="J204" s="346">
        <v>3</v>
      </c>
      <c r="K204" s="346">
        <v>4</v>
      </c>
      <c r="L204" s="346">
        <v>5</v>
      </c>
      <c r="M204" s="346">
        <v>6</v>
      </c>
      <c r="N204" s="346">
        <v>7</v>
      </c>
      <c r="O204" s="346">
        <v>8</v>
      </c>
      <c r="P204" s="346">
        <v>9</v>
      </c>
      <c r="Q204" s="262"/>
      <c r="R204" s="227" t="s">
        <v>426</v>
      </c>
      <c r="S204" s="282">
        <v>-8.0000000000000004E-4</v>
      </c>
      <c r="T204" s="508"/>
      <c r="U204" s="508"/>
      <c r="V204" s="508"/>
      <c r="W204" s="508"/>
      <c r="X204" s="508"/>
      <c r="Y204" s="508"/>
      <c r="Z204" s="508"/>
      <c r="AA204" s="508"/>
      <c r="AB204" s="508"/>
      <c r="AC204" s="508"/>
      <c r="AD204" s="273"/>
      <c r="AE204" s="261" t="s">
        <v>450</v>
      </c>
      <c r="AF204" s="223"/>
      <c r="AG204" s="223"/>
      <c r="AH204" s="273"/>
      <c r="AI204" s="273"/>
      <c r="AJ204" s="273"/>
    </row>
    <row r="205" spans="1:36" ht="15.75" customHeight="1">
      <c r="A205" s="237" t="s">
        <v>307</v>
      </c>
      <c r="B205" s="249"/>
      <c r="C205" s="251"/>
      <c r="D205" s="251"/>
      <c r="E205" s="251"/>
      <c r="F205" s="251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62"/>
      <c r="R205" s="223"/>
      <c r="S205" s="223"/>
      <c r="T205" s="223"/>
      <c r="U205" s="223"/>
      <c r="V205" s="223"/>
      <c r="W205" s="223"/>
      <c r="X205" s="223"/>
      <c r="Y205" s="223"/>
      <c r="Z205" s="223"/>
      <c r="AA205" s="223"/>
      <c r="AB205" s="223"/>
      <c r="AC205" s="223"/>
      <c r="AD205" s="273"/>
      <c r="AE205" s="262"/>
      <c r="AF205" s="223"/>
      <c r="AG205" s="223"/>
      <c r="AH205" s="273"/>
      <c r="AI205" s="273"/>
      <c r="AJ205" s="273"/>
    </row>
    <row r="206" spans="1:36" ht="15.75" customHeight="1">
      <c r="A206" s="250" t="s">
        <v>279</v>
      </c>
      <c r="B206" s="276">
        <f>B191/B226</f>
        <v>10.02053050397878</v>
      </c>
      <c r="C206" s="276">
        <f>C191/C226</f>
        <v>13.694847545219638</v>
      </c>
      <c r="D206" s="276">
        <f>D191/D226</f>
        <v>16.270773269689737</v>
      </c>
      <c r="E206" s="277">
        <f>E191/E226</f>
        <v>17.423851598173517</v>
      </c>
      <c r="F206" s="277">
        <f>F191/F226</f>
        <v>17.160510822510822</v>
      </c>
      <c r="G206" s="260">
        <f>F206*(1+G210)</f>
        <v>17.503721038961039</v>
      </c>
      <c r="H206" s="260">
        <f t="shared" ref="H206:P206" si="353">G206*(1+H210)</f>
        <v>17.840667668961039</v>
      </c>
      <c r="I206" s="260">
        <f t="shared" si="353"/>
        <v>18.170720020836818</v>
      </c>
      <c r="J206" s="260">
        <f t="shared" si="353"/>
        <v>18.493250301206672</v>
      </c>
      <c r="K206" s="260">
        <f t="shared" si="353"/>
        <v>18.807635556327185</v>
      </c>
      <c r="L206" s="260">
        <f t="shared" si="353"/>
        <v>19.113259634117505</v>
      </c>
      <c r="M206" s="260">
        <f t="shared" si="353"/>
        <v>19.409515158446329</v>
      </c>
      <c r="N206" s="260">
        <f t="shared" si="353"/>
        <v>19.695805507033413</v>
      </c>
      <c r="O206" s="260">
        <f t="shared" si="353"/>
        <v>19.971546784131881</v>
      </c>
      <c r="P206" s="260">
        <f t="shared" si="353"/>
        <v>20.23616977902163</v>
      </c>
      <c r="Q206" s="262"/>
      <c r="R206" s="223"/>
      <c r="S206" s="223"/>
      <c r="T206" s="223"/>
      <c r="U206" s="223"/>
      <c r="V206" s="223"/>
      <c r="W206" s="223"/>
      <c r="X206" s="223"/>
      <c r="Y206" s="223"/>
      <c r="Z206" s="223"/>
      <c r="AA206" s="223"/>
      <c r="AB206" s="223"/>
      <c r="AC206" s="223"/>
      <c r="AD206" s="273"/>
      <c r="AE206" s="262"/>
      <c r="AF206" s="223"/>
      <c r="AG206" s="223"/>
      <c r="AH206" s="273"/>
      <c r="AI206" s="273"/>
      <c r="AJ206" s="273"/>
    </row>
    <row r="207" spans="1:36" ht="15.75" customHeight="1">
      <c r="A207" s="281" t="s">
        <v>347</v>
      </c>
      <c r="B207" s="276">
        <f>B206*B$86</f>
        <v>2.1698459515525084</v>
      </c>
      <c r="C207" s="276">
        <f t="shared" ref="C207:P207" si="354">C206*C$86</f>
        <v>3.3617578960523837</v>
      </c>
      <c r="D207" s="276">
        <f t="shared" si="354"/>
        <v>3.9252027454992984</v>
      </c>
      <c r="E207" s="276">
        <f t="shared" si="354"/>
        <v>4.0805176811960511</v>
      </c>
      <c r="F207" s="276">
        <f t="shared" si="354"/>
        <v>4.1464474145939745</v>
      </c>
      <c r="G207" s="276">
        <f t="shared" si="354"/>
        <v>4.6156416679588741</v>
      </c>
      <c r="H207" s="276">
        <f t="shared" si="354"/>
        <v>5.0707256525541702</v>
      </c>
      <c r="I207" s="276">
        <f t="shared" si="354"/>
        <v>5.5007039118385013</v>
      </c>
      <c r="J207" s="276">
        <f t="shared" si="354"/>
        <v>5.8950978812045403</v>
      </c>
      <c r="K207" s="276">
        <f t="shared" si="354"/>
        <v>6.2441693582815567</v>
      </c>
      <c r="L207" s="276">
        <f t="shared" si="354"/>
        <v>6.5390403963868655</v>
      </c>
      <c r="M207" s="276">
        <f t="shared" si="354"/>
        <v>6.7717427428175041</v>
      </c>
      <c r="N207" s="276">
        <f t="shared" si="354"/>
        <v>6.935239940904049</v>
      </c>
      <c r="O207" s="276">
        <f t="shared" si="354"/>
        <v>7.0234683103242936</v>
      </c>
      <c r="P207" s="276">
        <f t="shared" si="354"/>
        <v>7.0314408383992379</v>
      </c>
      <c r="Q207" s="262"/>
      <c r="R207" s="223"/>
      <c r="S207" s="223"/>
      <c r="T207" s="223"/>
      <c r="U207" s="223"/>
      <c r="V207" s="223"/>
      <c r="W207" s="223"/>
      <c r="X207" s="223"/>
      <c r="Y207" s="223"/>
      <c r="Z207" s="223"/>
      <c r="AA207" s="223"/>
      <c r="AB207" s="223"/>
      <c r="AC207" s="223"/>
      <c r="AD207" s="273"/>
      <c r="AE207" s="262"/>
      <c r="AF207" s="223"/>
      <c r="AG207" s="223"/>
      <c r="AH207" s="273"/>
      <c r="AI207" s="273"/>
      <c r="AJ207" s="273"/>
    </row>
    <row r="208" spans="1:36" ht="15.75" customHeight="1">
      <c r="A208" s="281" t="s">
        <v>348</v>
      </c>
      <c r="B208" s="276">
        <f>B206*B$83</f>
        <v>6.942870557611398</v>
      </c>
      <c r="C208" s="276">
        <f t="shared" ref="C208:P208" si="355">C206*C$83</f>
        <v>9.1313955425017319</v>
      </c>
      <c r="D208" s="276">
        <f t="shared" si="355"/>
        <v>10.551861429348147</v>
      </c>
      <c r="E208" s="276">
        <f t="shared" si="355"/>
        <v>11.135024629371054</v>
      </c>
      <c r="F208" s="276">
        <f t="shared" si="355"/>
        <v>10.846957199608372</v>
      </c>
      <c r="G208" s="276">
        <f t="shared" si="355"/>
        <v>10.730316117674876</v>
      </c>
      <c r="H208" s="276">
        <f t="shared" si="355"/>
        <v>10.621975606743318</v>
      </c>
      <c r="I208" s="276">
        <f t="shared" si="355"/>
        <v>10.530521168381838</v>
      </c>
      <c r="J208" s="276">
        <f t="shared" si="355"/>
        <v>10.464091585437664</v>
      </c>
      <c r="K208" s="276">
        <f t="shared" si="355"/>
        <v>10.430209529934464</v>
      </c>
      <c r="L208" s="276">
        <f t="shared" si="355"/>
        <v>10.435697896630044</v>
      </c>
      <c r="M208" s="276">
        <f t="shared" si="355"/>
        <v>10.486653544401369</v>
      </c>
      <c r="N208" s="276">
        <f t="shared" si="355"/>
        <v>10.588442205928324</v>
      </c>
      <c r="O208" s="276">
        <f t="shared" si="355"/>
        <v>10.745675978274454</v>
      </c>
      <c r="P208" s="276">
        <f t="shared" si="355"/>
        <v>10.96213663257709</v>
      </c>
      <c r="Q208" s="262"/>
      <c r="R208" s="223"/>
      <c r="S208" s="223"/>
      <c r="T208" s="223"/>
      <c r="U208" s="223"/>
      <c r="V208" s="223"/>
      <c r="W208" s="223"/>
      <c r="X208" s="223"/>
      <c r="Y208" s="223"/>
      <c r="Z208" s="223"/>
      <c r="AA208" s="223"/>
      <c r="AB208" s="223"/>
      <c r="AC208" s="223"/>
      <c r="AD208" s="273"/>
      <c r="AE208" s="262"/>
      <c r="AF208" s="223"/>
      <c r="AG208" s="223"/>
      <c r="AH208" s="273"/>
      <c r="AI208" s="273"/>
      <c r="AJ208" s="273"/>
    </row>
    <row r="209" spans="1:36" ht="15.75" customHeight="1">
      <c r="A209" s="281" t="s">
        <v>349</v>
      </c>
      <c r="B209" s="276">
        <f>B206*B$89</f>
        <v>0.9078139948148729</v>
      </c>
      <c r="C209" s="276">
        <f t="shared" ref="C209:P209" si="356">C206*C$89</f>
        <v>1.20169410666552</v>
      </c>
      <c r="D209" s="276">
        <f t="shared" si="356"/>
        <v>1.7034331350162915</v>
      </c>
      <c r="E209" s="276">
        <f t="shared" si="356"/>
        <v>2.2083092876064128</v>
      </c>
      <c r="F209" s="276">
        <f t="shared" si="356"/>
        <v>2.1671062083084753</v>
      </c>
      <c r="G209" s="276">
        <f t="shared" si="356"/>
        <v>2.1577632533272881</v>
      </c>
      <c r="H209" s="276">
        <f t="shared" si="356"/>
        <v>2.1479664096635491</v>
      </c>
      <c r="I209" s="276">
        <f t="shared" si="356"/>
        <v>2.1394949406164789</v>
      </c>
      <c r="J209" s="276">
        <f t="shared" si="356"/>
        <v>2.134060834564468</v>
      </c>
      <c r="K209" s="276">
        <f t="shared" si="356"/>
        <v>2.1332566681111627</v>
      </c>
      <c r="L209" s="276">
        <f t="shared" si="356"/>
        <v>2.1385213411005948</v>
      </c>
      <c r="M209" s="276">
        <f t="shared" si="356"/>
        <v>2.1511188712274576</v>
      </c>
      <c r="N209" s="276">
        <f t="shared" si="356"/>
        <v>2.1721233602010397</v>
      </c>
      <c r="O209" s="276">
        <f t="shared" si="356"/>
        <v>2.2024024955331334</v>
      </c>
      <c r="P209" s="276">
        <f t="shared" si="356"/>
        <v>2.2425923080453027</v>
      </c>
      <c r="Q209" s="262"/>
      <c r="R209" s="223"/>
      <c r="S209" s="223"/>
      <c r="T209" s="223"/>
      <c r="U209" s="223"/>
      <c r="V209" s="223"/>
      <c r="W209" s="223"/>
      <c r="X209" s="223"/>
      <c r="Y209" s="223"/>
      <c r="Z209" s="223"/>
      <c r="AA209" s="223"/>
      <c r="AB209" s="223"/>
      <c r="AC209" s="223"/>
      <c r="AD209" s="273"/>
      <c r="AE209" s="262"/>
      <c r="AF209" s="223"/>
      <c r="AG209" s="223"/>
      <c r="AH209" s="273"/>
      <c r="AI209" s="273"/>
      <c r="AJ209" s="273"/>
    </row>
    <row r="210" spans="1:36" ht="15.75" customHeight="1">
      <c r="A210" s="281" t="s">
        <v>346</v>
      </c>
      <c r="B210" s="242"/>
      <c r="C210" s="246">
        <f t="shared" ref="C210:F210" si="357">C206/B206-1</f>
        <v>0.36667889387512198</v>
      </c>
      <c r="D210" s="246">
        <f t="shared" si="357"/>
        <v>0.18809451627442608</v>
      </c>
      <c r="E210" s="246">
        <f t="shared" si="357"/>
        <v>7.0868071810195277E-2</v>
      </c>
      <c r="F210" s="246">
        <f t="shared" si="357"/>
        <v>-1.5113809606269846E-2</v>
      </c>
      <c r="G210" s="274">
        <v>0.02</v>
      </c>
      <c r="H210" s="246">
        <f t="shared" ref="H210:P220" si="358">G210+$S210</f>
        <v>1.925E-2</v>
      </c>
      <c r="I210" s="246">
        <f t="shared" si="358"/>
        <v>1.8499999999999999E-2</v>
      </c>
      <c r="J210" s="246">
        <f t="shared" si="358"/>
        <v>1.7749999999999998E-2</v>
      </c>
      <c r="K210" s="246">
        <f t="shared" si="358"/>
        <v>1.6999999999999998E-2</v>
      </c>
      <c r="L210" s="246">
        <f t="shared" si="358"/>
        <v>1.6249999999999997E-2</v>
      </c>
      <c r="M210" s="246">
        <f t="shared" si="358"/>
        <v>1.5499999999999996E-2</v>
      </c>
      <c r="N210" s="246">
        <f t="shared" si="358"/>
        <v>1.4749999999999996E-2</v>
      </c>
      <c r="O210" s="246">
        <f t="shared" si="358"/>
        <v>1.3999999999999995E-2</v>
      </c>
      <c r="P210" s="246">
        <f t="shared" si="358"/>
        <v>1.3249999999999994E-2</v>
      </c>
      <c r="Q210" s="262"/>
      <c r="R210" s="227" t="s">
        <v>274</v>
      </c>
      <c r="S210" s="282">
        <v>-7.5000000000000002E-4</v>
      </c>
      <c r="T210" s="508"/>
      <c r="U210" s="508"/>
      <c r="V210" s="508"/>
      <c r="W210" s="508"/>
      <c r="X210" s="508"/>
      <c r="Y210" s="508"/>
      <c r="Z210" s="508"/>
      <c r="AA210" s="508"/>
      <c r="AB210" s="508"/>
      <c r="AC210" s="508"/>
      <c r="AD210" s="273"/>
      <c r="AE210" s="261" t="s">
        <v>451</v>
      </c>
      <c r="AF210" s="223"/>
      <c r="AG210" s="223"/>
      <c r="AH210" s="273"/>
      <c r="AI210" s="273"/>
      <c r="AJ210" s="273"/>
    </row>
    <row r="211" spans="1:36" ht="15.75" customHeight="1">
      <c r="A211" s="250" t="s">
        <v>280</v>
      </c>
      <c r="B211" s="276">
        <f>B196/B229</f>
        <v>6.7656818181818181</v>
      </c>
      <c r="C211" s="276">
        <f>C196/C229</f>
        <v>7.4338857142857133</v>
      </c>
      <c r="D211" s="276">
        <f>D196/D229</f>
        <v>6.8851818181818185</v>
      </c>
      <c r="E211" s="277">
        <f>E196/E229</f>
        <v>7.5886614173228342</v>
      </c>
      <c r="F211" s="277">
        <f>F196/F229</f>
        <v>9.0154768211920526</v>
      </c>
      <c r="G211" s="260">
        <f>F211*(1+G215)</f>
        <v>10.534759372618757</v>
      </c>
      <c r="H211" s="260">
        <f t="shared" ref="H211:P211" si="359">G211*(1+H215)</f>
        <v>12.104642667719277</v>
      </c>
      <c r="I211" s="260">
        <f t="shared" si="359"/>
        <v>13.672428463863826</v>
      </c>
      <c r="J211" s="260">
        <f t="shared" si="359"/>
        <v>15.176660547011792</v>
      </c>
      <c r="K211" s="260">
        <f t="shared" si="359"/>
        <v>16.550442428507225</v>
      </c>
      <c r="L211" s="260">
        <f t="shared" si="359"/>
        <v>17.725844564851549</v>
      </c>
      <c r="M211" s="260">
        <f t="shared" si="359"/>
        <v>18.639069061475229</v>
      </c>
      <c r="N211" s="260">
        <f t="shared" si="359"/>
        <v>19.235880469961824</v>
      </c>
      <c r="O211" s="260">
        <f t="shared" si="359"/>
        <v>19.476701739707867</v>
      </c>
      <c r="P211" s="260">
        <f t="shared" si="359"/>
        <v>19.340742258173456</v>
      </c>
      <c r="Q211" s="262"/>
      <c r="R211" s="26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73"/>
      <c r="AE211" s="261"/>
      <c r="AF211" s="223"/>
      <c r="AG211" s="223"/>
      <c r="AH211" s="273"/>
      <c r="AI211" s="273"/>
      <c r="AJ211" s="273"/>
    </row>
    <row r="212" spans="1:36" ht="15.75" customHeight="1">
      <c r="A212" s="281" t="s">
        <v>347</v>
      </c>
      <c r="B212" s="276">
        <f>B211*B$86</f>
        <v>1.4650409274084999</v>
      </c>
      <c r="C212" s="276">
        <f t="shared" ref="C212:P212" si="360">C211*C$86</f>
        <v>1.8248413438581443</v>
      </c>
      <c r="D212" s="276">
        <f t="shared" si="360"/>
        <v>1.6609987815597207</v>
      </c>
      <c r="E212" s="276">
        <f t="shared" si="360"/>
        <v>1.7771998869206469</v>
      </c>
      <c r="F212" s="276">
        <f t="shared" si="360"/>
        <v>2.1783850692560067</v>
      </c>
      <c r="G212" s="276">
        <f t="shared" si="360"/>
        <v>2.7779621381046424</v>
      </c>
      <c r="H212" s="276">
        <f t="shared" si="360"/>
        <v>3.4404162012945751</v>
      </c>
      <c r="I212" s="276">
        <f t="shared" si="360"/>
        <v>4.1389653601654173</v>
      </c>
      <c r="J212" s="276">
        <f t="shared" si="360"/>
        <v>4.8378677613319301</v>
      </c>
      <c r="K212" s="276">
        <f t="shared" si="360"/>
        <v>5.4947771169099102</v>
      </c>
      <c r="L212" s="276">
        <f t="shared" si="360"/>
        <v>6.064377081067712</v>
      </c>
      <c r="M212" s="276">
        <f t="shared" si="360"/>
        <v>6.5029435109301614</v>
      </c>
      <c r="N212" s="276">
        <f t="shared" si="360"/>
        <v>6.77329223656763</v>
      </c>
      <c r="O212" s="276">
        <f t="shared" si="360"/>
        <v>6.8494443087985575</v>
      </c>
      <c r="P212" s="276">
        <f t="shared" si="360"/>
        <v>6.720307570262424</v>
      </c>
      <c r="Q212" s="262"/>
      <c r="R212" s="26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73"/>
      <c r="AE212" s="261"/>
      <c r="AF212" s="223"/>
      <c r="AG212" s="223"/>
      <c r="AH212" s="273"/>
      <c r="AI212" s="273"/>
      <c r="AJ212" s="273"/>
    </row>
    <row r="213" spans="1:36" ht="15.75" customHeight="1">
      <c r="A213" s="281" t="s">
        <v>348</v>
      </c>
      <c r="B213" s="276">
        <f>B211*B$83</f>
        <v>4.6877012229013193</v>
      </c>
      <c r="C213" s="276">
        <f t="shared" ref="C213:P213" si="361">C211*C$83</f>
        <v>4.9567365135503731</v>
      </c>
      <c r="D213" s="276">
        <f t="shared" si="361"/>
        <v>4.4651525319120404</v>
      </c>
      <c r="E213" s="276">
        <f t="shared" si="361"/>
        <v>4.8496700806786857</v>
      </c>
      <c r="F213" s="276">
        <f t="shared" si="361"/>
        <v>5.6985769377711</v>
      </c>
      <c r="G213" s="276">
        <f t="shared" si="361"/>
        <v>6.4581295622926156</v>
      </c>
      <c r="H213" s="276">
        <f t="shared" si="361"/>
        <v>7.2068613983854437</v>
      </c>
      <c r="I213" s="276">
        <f t="shared" si="361"/>
        <v>7.9236154206768612</v>
      </c>
      <c r="J213" s="276">
        <f t="shared" si="361"/>
        <v>8.5874556034461733</v>
      </c>
      <c r="K213" s="276">
        <f t="shared" si="361"/>
        <v>9.1784308466342086</v>
      </c>
      <c r="L213" s="276">
        <f t="shared" si="361"/>
        <v>9.6781795665673425</v>
      </c>
      <c r="M213" s="276">
        <f t="shared" si="361"/>
        <v>10.070393724018563</v>
      </c>
      <c r="N213" s="276">
        <f t="shared" si="361"/>
        <v>10.341187039220218</v>
      </c>
      <c r="O213" s="276">
        <f t="shared" si="361"/>
        <v>10.479424968059252</v>
      </c>
      <c r="P213" s="276">
        <f t="shared" si="361"/>
        <v>10.477074541514618</v>
      </c>
      <c r="Q213" s="262"/>
      <c r="R213" s="26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73"/>
      <c r="AE213" s="261"/>
      <c r="AF213" s="223"/>
      <c r="AG213" s="223"/>
      <c r="AH213" s="273"/>
      <c r="AI213" s="273"/>
      <c r="AJ213" s="273"/>
    </row>
    <row r="214" spans="1:36" ht="15.75" customHeight="1">
      <c r="A214" s="281" t="s">
        <v>349</v>
      </c>
      <c r="B214" s="276">
        <f>B211*B$89</f>
        <v>0.61293966787199905</v>
      </c>
      <c r="C214" s="276">
        <f t="shared" ref="C214:P214" si="362">C211*C$89</f>
        <v>0.65230785687719539</v>
      </c>
      <c r="D214" s="276">
        <f t="shared" si="362"/>
        <v>0.72082909984070298</v>
      </c>
      <c r="E214" s="276">
        <f t="shared" si="362"/>
        <v>0.96179144972350161</v>
      </c>
      <c r="F214" s="276">
        <f t="shared" si="362"/>
        <v>1.1385148141649459</v>
      </c>
      <c r="G214" s="276">
        <f t="shared" si="362"/>
        <v>1.2986676722214978</v>
      </c>
      <c r="H214" s="276">
        <f t="shared" si="362"/>
        <v>1.4573650680392574</v>
      </c>
      <c r="I214" s="276">
        <f t="shared" si="362"/>
        <v>1.6098476830215473</v>
      </c>
      <c r="J214" s="276">
        <f t="shared" si="362"/>
        <v>1.7513371822336894</v>
      </c>
      <c r="K214" s="276">
        <f t="shared" si="362"/>
        <v>1.8772344649631056</v>
      </c>
      <c r="L214" s="276">
        <f t="shared" si="362"/>
        <v>1.9832879172164954</v>
      </c>
      <c r="M214" s="276">
        <f t="shared" si="362"/>
        <v>2.065731826526505</v>
      </c>
      <c r="N214" s="276">
        <f t="shared" si="362"/>
        <v>2.1214011941739752</v>
      </c>
      <c r="O214" s="276">
        <f t="shared" si="362"/>
        <v>2.1478324628500576</v>
      </c>
      <c r="P214" s="276">
        <f t="shared" si="362"/>
        <v>2.1433601463964158</v>
      </c>
      <c r="Q214" s="262"/>
      <c r="R214" s="26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73"/>
      <c r="AE214" s="261"/>
      <c r="AF214" s="223"/>
      <c r="AG214" s="223"/>
      <c r="AH214" s="273"/>
      <c r="AI214" s="273"/>
      <c r="AJ214" s="273"/>
    </row>
    <row r="215" spans="1:36" ht="15.75" customHeight="1">
      <c r="A215" s="281" t="s">
        <v>346</v>
      </c>
      <c r="B215" s="242"/>
      <c r="C215" s="246">
        <f t="shared" ref="C215:F215" si="363">C211/B211-1</f>
        <v>9.8763718729454775E-2</v>
      </c>
      <c r="D215" s="246">
        <f t="shared" si="363"/>
        <v>-7.381118262948938E-2</v>
      </c>
      <c r="E215" s="246">
        <f t="shared" si="363"/>
        <v>0.10217298797881047</v>
      </c>
      <c r="F215" s="246">
        <f t="shared" si="363"/>
        <v>0.18801937857079642</v>
      </c>
      <c r="G215" s="246">
        <f>F215+$S215</f>
        <v>0.16851937857079644</v>
      </c>
      <c r="H215" s="246">
        <f t="shared" si="358"/>
        <v>0.14901937857079645</v>
      </c>
      <c r="I215" s="246">
        <f t="shared" si="358"/>
        <v>0.12951937857079646</v>
      </c>
      <c r="J215" s="246">
        <f t="shared" si="358"/>
        <v>0.11001937857079645</v>
      </c>
      <c r="K215" s="246">
        <f t="shared" si="358"/>
        <v>9.0519378570796449E-2</v>
      </c>
      <c r="L215" s="246">
        <f t="shared" si="358"/>
        <v>7.1019378570796446E-2</v>
      </c>
      <c r="M215" s="246">
        <f t="shared" si="358"/>
        <v>5.1519378570796442E-2</v>
      </c>
      <c r="N215" s="246">
        <f t="shared" si="358"/>
        <v>3.2019378570796439E-2</v>
      </c>
      <c r="O215" s="246">
        <f t="shared" si="358"/>
        <v>1.2519378570796439E-2</v>
      </c>
      <c r="P215" s="246">
        <f t="shared" si="358"/>
        <v>-6.9806214292035609E-3</v>
      </c>
      <c r="Q215" s="262"/>
      <c r="R215" s="227" t="s">
        <v>274</v>
      </c>
      <c r="S215" s="282">
        <v>-1.95E-2</v>
      </c>
      <c r="T215" s="508"/>
      <c r="U215" s="508"/>
      <c r="V215" s="508"/>
      <c r="W215" s="508"/>
      <c r="X215" s="508"/>
      <c r="Y215" s="508"/>
      <c r="Z215" s="508"/>
      <c r="AA215" s="508"/>
      <c r="AB215" s="508"/>
      <c r="AC215" s="508"/>
      <c r="AD215" s="273"/>
      <c r="AE215" s="261" t="s">
        <v>338</v>
      </c>
      <c r="AF215" s="223"/>
      <c r="AG215" s="223"/>
      <c r="AH215" s="273"/>
      <c r="AI215" s="273"/>
      <c r="AJ215" s="273"/>
    </row>
    <row r="216" spans="1:36" ht="15.75" customHeight="1">
      <c r="A216" s="250" t="s">
        <v>303</v>
      </c>
      <c r="B216" s="275">
        <f>B199/(B243+B256)</f>
        <v>3.2644900000000003</v>
      </c>
      <c r="C216" s="275">
        <f>C199/(C243+C256)</f>
        <v>3.7293931623931624</v>
      </c>
      <c r="D216" s="275">
        <f>D199/(D243+D256)</f>
        <v>4.4630000000000001</v>
      </c>
      <c r="E216" s="275">
        <f>E199/(E243+E256)</f>
        <v>7.0128150684931505</v>
      </c>
      <c r="F216" s="275">
        <f>F199/(F243+F256)</f>
        <v>8.4326818181818179</v>
      </c>
      <c r="G216" s="260">
        <f>F216*(1+G220)</f>
        <v>9.9755880655697968</v>
      </c>
      <c r="H216" s="260">
        <f t="shared" ref="H216:P216" si="364">G216*(1+H220)</f>
        <v>11.606271959751227</v>
      </c>
      <c r="I216" s="260">
        <f t="shared" si="364"/>
        <v>13.277197280621367</v>
      </c>
      <c r="J216" s="260">
        <f t="shared" si="364"/>
        <v>14.929776103873186</v>
      </c>
      <c r="K216" s="260">
        <f t="shared" si="364"/>
        <v>16.496916557011712</v>
      </c>
      <c r="L216" s="260">
        <f t="shared" si="364"/>
        <v>17.906865866725322</v>
      </c>
      <c r="M216" s="260">
        <f t="shared" si="364"/>
        <v>19.088136057221735</v>
      </c>
      <c r="N216" s="260">
        <f t="shared" si="364"/>
        <v>19.97511297101051</v>
      </c>
      <c r="O216" s="260">
        <f t="shared" si="364"/>
        <v>20.513790732887259</v>
      </c>
      <c r="P216" s="260">
        <f t="shared" si="364"/>
        <v>20.66697633842827</v>
      </c>
      <c r="Q216" s="262"/>
      <c r="R216" s="223"/>
      <c r="S216" s="223"/>
      <c r="T216" s="223"/>
      <c r="U216" s="223"/>
      <c r="V216" s="223"/>
      <c r="W216" s="223"/>
      <c r="X216" s="223"/>
      <c r="Y216" s="223"/>
      <c r="Z216" s="223"/>
      <c r="AA216" s="223"/>
      <c r="AB216" s="223"/>
      <c r="AC216" s="223"/>
      <c r="AD216" s="273"/>
      <c r="AE216" s="262"/>
      <c r="AF216" s="223"/>
      <c r="AG216" s="223"/>
      <c r="AH216" s="273"/>
      <c r="AI216" s="273"/>
      <c r="AJ216" s="273"/>
    </row>
    <row r="217" spans="1:36" ht="15.75" customHeight="1">
      <c r="A217" s="281" t="s">
        <v>347</v>
      </c>
      <c r="B217" s="276">
        <f>B216*B$86</f>
        <v>0.7068927545873025</v>
      </c>
      <c r="C217" s="276">
        <f t="shared" ref="C217:P217" si="365">C216*C$86</f>
        <v>0.91547692442441941</v>
      </c>
      <c r="D217" s="276">
        <f t="shared" si="365"/>
        <v>1.0766654763604495</v>
      </c>
      <c r="E217" s="276">
        <f t="shared" si="365"/>
        <v>1.6423415753233404</v>
      </c>
      <c r="F217" s="276">
        <f t="shared" si="365"/>
        <v>2.0375659025969282</v>
      </c>
      <c r="G217" s="276">
        <f t="shared" si="365"/>
        <v>2.6305115258264089</v>
      </c>
      <c r="H217" s="276">
        <f t="shared" si="365"/>
        <v>3.2987678515653891</v>
      </c>
      <c r="I217" s="276">
        <f t="shared" si="365"/>
        <v>4.0193195941611357</v>
      </c>
      <c r="J217" s="276">
        <f t="shared" si="365"/>
        <v>4.7591683475488482</v>
      </c>
      <c r="K217" s="276">
        <f t="shared" si="365"/>
        <v>5.4770064298043124</v>
      </c>
      <c r="L217" s="276">
        <f t="shared" si="365"/>
        <v>6.1263082026146725</v>
      </c>
      <c r="M217" s="276">
        <f t="shared" si="365"/>
        <v>6.6596175001906266</v>
      </c>
      <c r="N217" s="276">
        <f t="shared" si="365"/>
        <v>7.033589017273373</v>
      </c>
      <c r="O217" s="276">
        <f t="shared" si="365"/>
        <v>7.2141612612365611</v>
      </c>
      <c r="P217" s="276">
        <f t="shared" si="365"/>
        <v>7.1811327449379156</v>
      </c>
      <c r="Q217" s="262"/>
      <c r="R217" s="223"/>
      <c r="S217" s="223"/>
      <c r="T217" s="223"/>
      <c r="U217" s="223"/>
      <c r="V217" s="223"/>
      <c r="W217" s="223"/>
      <c r="X217" s="223"/>
      <c r="Y217" s="223"/>
      <c r="Z217" s="223"/>
      <c r="AA217" s="223"/>
      <c r="AB217" s="223"/>
      <c r="AC217" s="223"/>
      <c r="AD217" s="273"/>
      <c r="AE217" s="262"/>
      <c r="AF217" s="223"/>
      <c r="AG217" s="223"/>
      <c r="AH217" s="273"/>
      <c r="AI217" s="273"/>
      <c r="AJ217" s="273"/>
    </row>
    <row r="218" spans="1:36" ht="15.75" customHeight="1">
      <c r="A218" s="281" t="s">
        <v>348</v>
      </c>
      <c r="B218" s="276">
        <f>B216*B$83</f>
        <v>2.261849459728448</v>
      </c>
      <c r="C218" s="276">
        <f t="shared" ref="C218:P218" si="366">C216*C$83</f>
        <v>2.4866698213957514</v>
      </c>
      <c r="D218" s="276">
        <f t="shared" si="366"/>
        <v>2.8943281784221426</v>
      </c>
      <c r="E218" s="276">
        <f t="shared" si="366"/>
        <v>4.481665151296478</v>
      </c>
      <c r="F218" s="276">
        <f t="shared" si="366"/>
        <v>5.3301990660876326</v>
      </c>
      <c r="G218" s="276">
        <f t="shared" si="366"/>
        <v>6.1153404561812152</v>
      </c>
      <c r="H218" s="276">
        <f t="shared" si="366"/>
        <v>6.9101414772828322</v>
      </c>
      <c r="I218" s="276">
        <f t="shared" si="366"/>
        <v>7.69456614047406</v>
      </c>
      <c r="J218" s="276">
        <f t="shared" si="366"/>
        <v>8.4477602344902039</v>
      </c>
      <c r="K218" s="276">
        <f t="shared" si="366"/>
        <v>9.1487468359408641</v>
      </c>
      <c r="L218" s="276">
        <f t="shared" si="366"/>
        <v>9.7770158538031051</v>
      </c>
      <c r="M218" s="276">
        <f t="shared" si="366"/>
        <v>10.313017507465803</v>
      </c>
      <c r="N218" s="276">
        <f t="shared" si="366"/>
        <v>10.738597574742755</v>
      </c>
      <c r="O218" s="276">
        <f t="shared" si="366"/>
        <v>11.03742993391373</v>
      </c>
      <c r="P218" s="276">
        <f t="shared" si="366"/>
        <v>11.1955088773248</v>
      </c>
      <c r="Q218" s="262"/>
      <c r="R218" s="223"/>
      <c r="S218" s="223"/>
      <c r="T218" s="223"/>
      <c r="U218" s="223"/>
      <c r="V218" s="223"/>
      <c r="W218" s="223"/>
      <c r="X218" s="223"/>
      <c r="Y218" s="223"/>
      <c r="Z218" s="223"/>
      <c r="AA218" s="223"/>
      <c r="AB218" s="223"/>
      <c r="AC218" s="223"/>
      <c r="AD218" s="273"/>
      <c r="AE218" s="262"/>
      <c r="AF218" s="223"/>
      <c r="AG218" s="223"/>
      <c r="AH218" s="273"/>
      <c r="AI218" s="273"/>
      <c r="AJ218" s="273"/>
    </row>
    <row r="219" spans="1:36" ht="15.75" customHeight="1">
      <c r="A219" s="281" t="s">
        <v>349</v>
      </c>
      <c r="B219" s="276">
        <f>B216*B$89</f>
        <v>0.29574778568424992</v>
      </c>
      <c r="C219" s="276">
        <f t="shared" ref="C219:P219" si="367">C216*C$89</f>
        <v>0.32724641657299114</v>
      </c>
      <c r="D219" s="276">
        <f t="shared" si="367"/>
        <v>0.46724405506528688</v>
      </c>
      <c r="E219" s="276">
        <f t="shared" si="367"/>
        <v>0.88880834187333291</v>
      </c>
      <c r="F219" s="276">
        <f t="shared" si="367"/>
        <v>1.0649168494972576</v>
      </c>
      <c r="G219" s="276">
        <f t="shared" si="367"/>
        <v>1.2297360835621727</v>
      </c>
      <c r="H219" s="276">
        <f t="shared" si="367"/>
        <v>1.3973626309030045</v>
      </c>
      <c r="I219" s="276">
        <f t="shared" si="367"/>
        <v>1.5633115459861717</v>
      </c>
      <c r="J219" s="276">
        <f t="shared" si="367"/>
        <v>1.7228475218341339</v>
      </c>
      <c r="K219" s="276">
        <f t="shared" si="367"/>
        <v>1.8711632912665348</v>
      </c>
      <c r="L219" s="276">
        <f t="shared" si="367"/>
        <v>2.0035418103075444</v>
      </c>
      <c r="M219" s="276">
        <f t="shared" si="367"/>
        <v>2.1155010495653075</v>
      </c>
      <c r="N219" s="276">
        <f t="shared" si="367"/>
        <v>2.2029263789943823</v>
      </c>
      <c r="O219" s="276">
        <f t="shared" si="367"/>
        <v>2.2621995377369677</v>
      </c>
      <c r="P219" s="276">
        <f t="shared" si="367"/>
        <v>2.2903347161655563</v>
      </c>
      <c r="Q219" s="262"/>
      <c r="R219" s="223"/>
      <c r="S219" s="223"/>
      <c r="T219" s="223"/>
      <c r="U219" s="223"/>
      <c r="V219" s="223"/>
      <c r="W219" s="223"/>
      <c r="X219" s="223"/>
      <c r="Y219" s="223"/>
      <c r="Z219" s="223"/>
      <c r="AA219" s="223"/>
      <c r="AB219" s="223"/>
      <c r="AC219" s="223"/>
      <c r="AD219" s="273"/>
      <c r="AE219" s="262"/>
      <c r="AF219" s="223"/>
      <c r="AG219" s="223"/>
      <c r="AH219" s="273"/>
      <c r="AI219" s="273"/>
      <c r="AJ219" s="273"/>
    </row>
    <row r="220" spans="1:36" ht="15.75" customHeight="1">
      <c r="A220" s="281" t="s">
        <v>346</v>
      </c>
      <c r="B220" s="242"/>
      <c r="C220" s="246">
        <f t="shared" ref="C220:F220" si="368">C216/B216-1</f>
        <v>0.14241218762905139</v>
      </c>
      <c r="D220" s="246">
        <f t="shared" si="368"/>
        <v>0.19670943922042272</v>
      </c>
      <c r="E220" s="246">
        <f t="shared" si="368"/>
        <v>0.57132311639998878</v>
      </c>
      <c r="F220" s="246">
        <f t="shared" si="368"/>
        <v>0.20246744507320291</v>
      </c>
      <c r="G220" s="246">
        <f>F220+$S220</f>
        <v>0.18296744507320292</v>
      </c>
      <c r="H220" s="246">
        <f t="shared" si="358"/>
        <v>0.16346744507320293</v>
      </c>
      <c r="I220" s="246">
        <f t="shared" si="358"/>
        <v>0.14396744507320294</v>
      </c>
      <c r="J220" s="246">
        <f t="shared" si="358"/>
        <v>0.12446744507320294</v>
      </c>
      <c r="K220" s="246">
        <f t="shared" si="358"/>
        <v>0.10496744507320294</v>
      </c>
      <c r="L220" s="246">
        <f t="shared" si="358"/>
        <v>8.5467445073202933E-2</v>
      </c>
      <c r="M220" s="246">
        <f t="shared" si="358"/>
        <v>6.5967445073202929E-2</v>
      </c>
      <c r="N220" s="246">
        <f t="shared" si="358"/>
        <v>4.6467445073202926E-2</v>
      </c>
      <c r="O220" s="246">
        <f t="shared" si="358"/>
        <v>2.6967445073202926E-2</v>
      </c>
      <c r="P220" s="246">
        <f t="shared" si="358"/>
        <v>7.467445073202926E-3</v>
      </c>
      <c r="Q220" s="262"/>
      <c r="R220" s="227" t="s">
        <v>274</v>
      </c>
      <c r="S220" s="282">
        <v>-1.95E-2</v>
      </c>
      <c r="T220" s="508"/>
      <c r="U220" s="508"/>
      <c r="V220" s="508"/>
      <c r="W220" s="508"/>
      <c r="X220" s="508"/>
      <c r="Y220" s="508"/>
      <c r="Z220" s="508"/>
      <c r="AA220" s="508"/>
      <c r="AB220" s="508"/>
      <c r="AC220" s="508"/>
      <c r="AD220" s="273"/>
      <c r="AE220" s="261" t="s">
        <v>452</v>
      </c>
      <c r="AF220" s="223"/>
      <c r="AG220" s="223"/>
      <c r="AH220" s="273"/>
      <c r="AI220" s="273"/>
      <c r="AJ220" s="273"/>
    </row>
    <row r="221" spans="1:36" ht="15.75" customHeight="1">
      <c r="A221" s="226"/>
      <c r="B221" s="241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62"/>
      <c r="R221" s="223"/>
      <c r="S221" s="223"/>
      <c r="T221" s="223"/>
      <c r="U221" s="223"/>
      <c r="V221" s="223"/>
      <c r="W221" s="223"/>
      <c r="X221" s="223"/>
      <c r="Y221" s="223"/>
      <c r="Z221" s="223"/>
      <c r="AA221" s="223"/>
      <c r="AB221" s="223"/>
      <c r="AC221" s="223"/>
      <c r="AD221" s="273"/>
      <c r="AE221" s="262"/>
      <c r="AF221" s="223"/>
      <c r="AG221" s="223"/>
      <c r="AH221" s="273"/>
      <c r="AI221" s="273"/>
      <c r="AJ221" s="273"/>
    </row>
    <row r="222" spans="1:36" ht="15.75" customHeight="1">
      <c r="A222" s="238" t="s">
        <v>275</v>
      </c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62"/>
      <c r="R222" s="223"/>
      <c r="S222" s="223"/>
      <c r="T222" s="223"/>
      <c r="U222" s="223"/>
      <c r="V222" s="223"/>
      <c r="W222" s="223"/>
      <c r="X222" s="223"/>
      <c r="Y222" s="223"/>
      <c r="Z222" s="223"/>
      <c r="AA222" s="223"/>
      <c r="AB222" s="223"/>
      <c r="AC222" s="223"/>
      <c r="AD222" s="273"/>
      <c r="AE222" s="262"/>
      <c r="AF222" s="223"/>
      <c r="AG222" s="223"/>
      <c r="AH222" s="273"/>
      <c r="AI222" s="273"/>
      <c r="AJ222" s="273"/>
    </row>
    <row r="223" spans="1:36" ht="15.75" customHeight="1">
      <c r="A223" s="235" t="s">
        <v>276</v>
      </c>
      <c r="B223" s="244">
        <v>315</v>
      </c>
      <c r="C223" s="242">
        <v>324</v>
      </c>
      <c r="D223" s="242">
        <v>350</v>
      </c>
      <c r="E223" s="242">
        <v>367</v>
      </c>
      <c r="F223" s="242">
        <v>374</v>
      </c>
      <c r="G223" s="242">
        <f>F223*(1+G$45)</f>
        <v>393.18415068493147</v>
      </c>
      <c r="H223" s="242">
        <f t="shared" ref="H223:P223" si="369">G223*(1+H$45)</f>
        <v>411.97619865396882</v>
      </c>
      <c r="I223" s="242">
        <f t="shared" si="369"/>
        <v>430.22448685051143</v>
      </c>
      <c r="J223" s="242">
        <f t="shared" si="369"/>
        <v>447.77528851956379</v>
      </c>
      <c r="K223" s="242">
        <f t="shared" si="369"/>
        <v>464.47485321811871</v>
      </c>
      <c r="L223" s="242">
        <f t="shared" si="369"/>
        <v>480.17155818920219</v>
      </c>
      <c r="M223" s="242">
        <f t="shared" si="369"/>
        <v>494.71812532530384</v>
      </c>
      <c r="N223" s="242">
        <f t="shared" si="369"/>
        <v>507.97386029977361</v>
      </c>
      <c r="O223" s="242">
        <f t="shared" si="369"/>
        <v>519.80686782634564</v>
      </c>
      <c r="P223" s="242">
        <f t="shared" si="369"/>
        <v>530.09619555249731</v>
      </c>
      <c r="Q223" s="262"/>
      <c r="R223" s="223"/>
      <c r="S223" s="223"/>
      <c r="T223" s="223"/>
      <c r="U223" s="223"/>
      <c r="V223" s="223"/>
      <c r="W223" s="223"/>
      <c r="X223" s="223"/>
      <c r="Y223" s="223"/>
      <c r="Z223" s="223"/>
      <c r="AA223" s="223"/>
      <c r="AB223" s="223"/>
      <c r="AC223" s="223"/>
      <c r="AD223" s="273"/>
      <c r="AE223" s="262"/>
      <c r="AF223" s="223"/>
      <c r="AG223" s="223"/>
      <c r="AH223" s="273"/>
      <c r="AI223" s="273"/>
      <c r="AJ223" s="273"/>
    </row>
    <row r="224" spans="1:36" ht="15.75" customHeight="1">
      <c r="A224" s="236" t="s">
        <v>277</v>
      </c>
      <c r="B224" s="242">
        <v>62</v>
      </c>
      <c r="C224" s="242">
        <v>63</v>
      </c>
      <c r="D224" s="242">
        <v>69</v>
      </c>
      <c r="E224" s="242">
        <v>71</v>
      </c>
      <c r="F224" s="242">
        <v>71</v>
      </c>
      <c r="G224" s="242">
        <f t="shared" ref="G224:P225" si="370">F224*(1+G$45)</f>
        <v>74.641910958904106</v>
      </c>
      <c r="H224" s="242">
        <f t="shared" si="370"/>
        <v>78.209385305967345</v>
      </c>
      <c r="I224" s="242">
        <f t="shared" si="370"/>
        <v>81.673632530444678</v>
      </c>
      <c r="J224" s="242">
        <f t="shared" si="370"/>
        <v>85.005469210933228</v>
      </c>
      <c r="K224" s="242">
        <f t="shared" si="370"/>
        <v>88.175707429108101</v>
      </c>
      <c r="L224" s="242">
        <f t="shared" si="370"/>
        <v>91.155563185650692</v>
      </c>
      <c r="M224" s="242">
        <f t="shared" si="370"/>
        <v>93.917077267637907</v>
      </c>
      <c r="N224" s="242">
        <f t="shared" si="370"/>
        <v>96.433540324288586</v>
      </c>
      <c r="O224" s="242">
        <f t="shared" si="370"/>
        <v>98.679913410883827</v>
      </c>
      <c r="P224" s="242">
        <f t="shared" si="370"/>
        <v>100.63323498456504</v>
      </c>
      <c r="Q224" s="262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3"/>
      <c r="AD224" s="273"/>
      <c r="AE224" s="262"/>
      <c r="AF224" s="223"/>
      <c r="AG224" s="223"/>
      <c r="AH224" s="273"/>
      <c r="AI224" s="273"/>
      <c r="AJ224" s="273"/>
    </row>
    <row r="225" spans="1:36" ht="15.75" customHeight="1">
      <c r="A225" s="236" t="s">
        <v>278</v>
      </c>
      <c r="B225" s="242">
        <v>0</v>
      </c>
      <c r="C225" s="242">
        <v>0</v>
      </c>
      <c r="D225" s="242">
        <v>0</v>
      </c>
      <c r="E225" s="242">
        <v>0</v>
      </c>
      <c r="F225" s="242">
        <v>17</v>
      </c>
      <c r="G225" s="242">
        <f t="shared" si="370"/>
        <v>17.872006849315067</v>
      </c>
      <c r="H225" s="242">
        <f t="shared" si="370"/>
        <v>18.726190847907674</v>
      </c>
      <c r="I225" s="242">
        <f t="shared" si="370"/>
        <v>19.555658493205065</v>
      </c>
      <c r="J225" s="242">
        <f t="shared" si="370"/>
        <v>20.353422205434718</v>
      </c>
      <c r="K225" s="242">
        <f t="shared" si="370"/>
        <v>21.112493328096306</v>
      </c>
      <c r="L225" s="242">
        <f t="shared" si="370"/>
        <v>21.825979917691011</v>
      </c>
      <c r="M225" s="242">
        <f t="shared" si="370"/>
        <v>22.487187514786541</v>
      </c>
      <c r="N225" s="242">
        <f t="shared" si="370"/>
        <v>23.089720922716985</v>
      </c>
      <c r="O225" s="242">
        <f t="shared" si="370"/>
        <v>23.627584901197533</v>
      </c>
      <c r="P225" s="242">
        <f t="shared" si="370"/>
        <v>24.095281616022611</v>
      </c>
      <c r="Q225" s="262"/>
      <c r="R225" s="223"/>
      <c r="S225" s="223"/>
      <c r="T225" s="223"/>
      <c r="U225" s="223"/>
      <c r="V225" s="223"/>
      <c r="W225" s="223"/>
      <c r="X225" s="223"/>
      <c r="Y225" s="223"/>
      <c r="Z225" s="223"/>
      <c r="AA225" s="223"/>
      <c r="AB225" s="223"/>
      <c r="AC225" s="223"/>
      <c r="AD225" s="273"/>
      <c r="AE225" s="262"/>
      <c r="AF225" s="223"/>
      <c r="AG225" s="223"/>
      <c r="AH225" s="273"/>
      <c r="AI225" s="273"/>
      <c r="AJ225" s="273"/>
    </row>
    <row r="226" spans="1:36" ht="15.75" customHeight="1">
      <c r="A226" s="239" t="s">
        <v>279</v>
      </c>
      <c r="B226" s="245">
        <f>SUM(B223:B225)</f>
        <v>377</v>
      </c>
      <c r="C226" s="245">
        <f t="shared" ref="C226:P226" si="371">SUM(C223:C225)</f>
        <v>387</v>
      </c>
      <c r="D226" s="245">
        <f t="shared" si="371"/>
        <v>419</v>
      </c>
      <c r="E226" s="245">
        <f t="shared" si="371"/>
        <v>438</v>
      </c>
      <c r="F226" s="245">
        <f t="shared" si="371"/>
        <v>462</v>
      </c>
      <c r="G226" s="245">
        <f t="shared" si="371"/>
        <v>485.69806849315069</v>
      </c>
      <c r="H226" s="245">
        <f t="shared" si="371"/>
        <v>508.91177480784381</v>
      </c>
      <c r="I226" s="245">
        <f t="shared" si="371"/>
        <v>531.45377787416123</v>
      </c>
      <c r="J226" s="245">
        <f t="shared" si="371"/>
        <v>553.1341799359318</v>
      </c>
      <c r="K226" s="245">
        <f t="shared" si="371"/>
        <v>573.76305397532315</v>
      </c>
      <c r="L226" s="245">
        <f t="shared" si="371"/>
        <v>593.15310129254385</v>
      </c>
      <c r="M226" s="245">
        <f t="shared" si="371"/>
        <v>611.12239010772828</v>
      </c>
      <c r="N226" s="245">
        <f t="shared" si="371"/>
        <v>627.49712154677923</v>
      </c>
      <c r="O226" s="245">
        <f t="shared" si="371"/>
        <v>642.11436613842704</v>
      </c>
      <c r="P226" s="245">
        <f t="shared" si="371"/>
        <v>654.82471215308499</v>
      </c>
      <c r="Q226" s="262"/>
      <c r="R226" s="223"/>
      <c r="S226" s="223"/>
      <c r="T226" s="223"/>
      <c r="U226" s="223"/>
      <c r="V226" s="223"/>
      <c r="W226" s="223"/>
      <c r="X226" s="223"/>
      <c r="Y226" s="223"/>
      <c r="Z226" s="223"/>
      <c r="AA226" s="223"/>
      <c r="AB226" s="223"/>
      <c r="AC226" s="223"/>
      <c r="AD226" s="273"/>
      <c r="AE226" s="262"/>
      <c r="AF226" s="223"/>
      <c r="AG226" s="223"/>
      <c r="AH226" s="273"/>
      <c r="AI226" s="273"/>
      <c r="AJ226" s="273"/>
    </row>
    <row r="227" spans="1:36" ht="15.75" customHeight="1">
      <c r="A227" s="250" t="s">
        <v>336</v>
      </c>
      <c r="B227" s="242"/>
      <c r="C227" s="246">
        <f t="shared" ref="C227:F227" si="372">C226/B226-1</f>
        <v>2.6525198938992078E-2</v>
      </c>
      <c r="D227" s="246">
        <f t="shared" si="372"/>
        <v>8.2687338501292063E-2</v>
      </c>
      <c r="E227" s="246">
        <f t="shared" si="372"/>
        <v>4.5346062052505909E-2</v>
      </c>
      <c r="F227" s="246">
        <f t="shared" si="372"/>
        <v>5.4794520547945202E-2</v>
      </c>
      <c r="G227" s="246">
        <f>F227+$S227</f>
        <v>5.1294520547945199E-2</v>
      </c>
      <c r="H227" s="246">
        <f t="shared" ref="H227:P227" si="373">G227+$S227</f>
        <v>4.7794520547945196E-2</v>
      </c>
      <c r="I227" s="246">
        <f t="shared" si="373"/>
        <v>4.4294520547945193E-2</v>
      </c>
      <c r="J227" s="246">
        <f t="shared" si="373"/>
        <v>4.079452054794519E-2</v>
      </c>
      <c r="K227" s="246">
        <f t="shared" si="373"/>
        <v>3.7294520547945187E-2</v>
      </c>
      <c r="L227" s="246">
        <f t="shared" si="373"/>
        <v>3.3794520547945184E-2</v>
      </c>
      <c r="M227" s="246">
        <f t="shared" si="373"/>
        <v>3.0294520547945184E-2</v>
      </c>
      <c r="N227" s="246">
        <f t="shared" si="373"/>
        <v>2.6794520547945185E-2</v>
      </c>
      <c r="O227" s="246">
        <f t="shared" si="373"/>
        <v>2.3294520547945185E-2</v>
      </c>
      <c r="P227" s="246">
        <f t="shared" si="373"/>
        <v>1.9794520547945185E-2</v>
      </c>
      <c r="Q227" s="262"/>
      <c r="R227" s="227" t="s">
        <v>274</v>
      </c>
      <c r="S227" s="282">
        <v>-3.5000000000000001E-3</v>
      </c>
      <c r="T227" s="508"/>
      <c r="U227" s="508"/>
      <c r="V227" s="508"/>
      <c r="W227" s="508"/>
      <c r="X227" s="508"/>
      <c r="Y227" s="508"/>
      <c r="Z227" s="508"/>
      <c r="AA227" s="508"/>
      <c r="AB227" s="508"/>
      <c r="AC227" s="508"/>
      <c r="AD227" s="273"/>
      <c r="AE227" s="261" t="s">
        <v>339</v>
      </c>
      <c r="AF227" s="223"/>
      <c r="AG227" s="223"/>
      <c r="AH227" s="273"/>
      <c r="AI227" s="273"/>
      <c r="AJ227" s="273"/>
    </row>
    <row r="228" spans="1:36" ht="15.75" customHeight="1">
      <c r="A228" s="223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62"/>
      <c r="R228" s="223"/>
      <c r="S228" s="223"/>
      <c r="T228" s="223"/>
      <c r="U228" s="223"/>
      <c r="V228" s="223"/>
      <c r="W228" s="223"/>
      <c r="X228" s="223"/>
      <c r="Y228" s="223"/>
      <c r="Z228" s="223"/>
      <c r="AA228" s="223"/>
      <c r="AB228" s="223"/>
      <c r="AC228" s="223"/>
      <c r="AD228" s="273"/>
      <c r="AE228" s="262"/>
      <c r="AF228" s="223"/>
      <c r="AG228" s="223"/>
      <c r="AH228" s="273"/>
      <c r="AI228" s="273"/>
      <c r="AJ228" s="273"/>
    </row>
    <row r="229" spans="1:36" ht="15.75" customHeight="1">
      <c r="A229" s="223" t="s">
        <v>280</v>
      </c>
      <c r="B229" s="242">
        <v>44</v>
      </c>
      <c r="C229" s="242">
        <v>70</v>
      </c>
      <c r="D229" s="242">
        <v>99</v>
      </c>
      <c r="E229" s="242">
        <v>127</v>
      </c>
      <c r="F229" s="242">
        <v>151</v>
      </c>
      <c r="G229" s="242">
        <f t="shared" ref="G229:P229" si="374">F229*(1+G230)</f>
        <v>176.74193307086617</v>
      </c>
      <c r="H229" s="242">
        <f t="shared" si="374"/>
        <v>203.60253189134485</v>
      </c>
      <c r="I229" s="242">
        <f t="shared" si="374"/>
        <v>230.77866039021208</v>
      </c>
      <c r="J229" s="242">
        <f t="shared" si="374"/>
        <v>257.31275487066779</v>
      </c>
      <c r="K229" s="242">
        <f t="shared" si="374"/>
        <v>282.13735746163519</v>
      </c>
      <c r="L229" s="242">
        <f t="shared" si="374"/>
        <v>304.13740668165548</v>
      </c>
      <c r="M229" s="242">
        <f t="shared" si="374"/>
        <v>322.2263980310247</v>
      </c>
      <c r="N229" s="242">
        <f t="shared" si="374"/>
        <v>335.43006870309921</v>
      </c>
      <c r="O229" s="242">
        <f t="shared" si="374"/>
        <v>342.96932170398901</v>
      </c>
      <c r="P229" s="242">
        <f t="shared" si="374"/>
        <v>344.33309735328442</v>
      </c>
      <c r="Q229" s="262"/>
      <c r="R229" s="26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73"/>
      <c r="AE229" s="261"/>
      <c r="AF229" s="223"/>
      <c r="AG229" s="223"/>
      <c r="AH229" s="273"/>
      <c r="AI229" s="273"/>
      <c r="AJ229" s="273"/>
    </row>
    <row r="230" spans="1:36" ht="15.75" customHeight="1">
      <c r="A230" s="250" t="s">
        <v>336</v>
      </c>
      <c r="B230" s="242"/>
      <c r="C230" s="246">
        <f>C229/B229-1</f>
        <v>0.59090909090909083</v>
      </c>
      <c r="D230" s="246">
        <f>D229/C229-1</f>
        <v>0.41428571428571437</v>
      </c>
      <c r="E230" s="246">
        <f>E229/D229-1</f>
        <v>0.28282828282828287</v>
      </c>
      <c r="F230" s="246">
        <f>F229/E229-1</f>
        <v>0.18897637795275601</v>
      </c>
      <c r="G230" s="246">
        <f t="shared" ref="G230:P230" si="375">F230+$S$48</f>
        <v>0.17047637795275603</v>
      </c>
      <c r="H230" s="246">
        <f t="shared" si="375"/>
        <v>0.15197637795275604</v>
      </c>
      <c r="I230" s="246">
        <f t="shared" si="375"/>
        <v>0.13347637795275605</v>
      </c>
      <c r="J230" s="246">
        <f t="shared" si="375"/>
        <v>0.11497637795275605</v>
      </c>
      <c r="K230" s="246">
        <f t="shared" si="375"/>
        <v>9.6476377952756043E-2</v>
      </c>
      <c r="L230" s="246">
        <f t="shared" si="375"/>
        <v>7.797637795275604E-2</v>
      </c>
      <c r="M230" s="246">
        <f t="shared" si="375"/>
        <v>5.9476377952756038E-2</v>
      </c>
      <c r="N230" s="246">
        <f t="shared" si="375"/>
        <v>4.0976377952756035E-2</v>
      </c>
      <c r="O230" s="246">
        <f t="shared" si="375"/>
        <v>2.2476377952756036E-2</v>
      </c>
      <c r="P230" s="246">
        <f t="shared" si="375"/>
        <v>3.9763779527560369E-3</v>
      </c>
      <c r="Q230" s="262"/>
      <c r="R230" s="227" t="s">
        <v>274</v>
      </c>
      <c r="S230" s="282">
        <v>-1.95E-2</v>
      </c>
      <c r="T230" s="508"/>
      <c r="U230" s="508"/>
      <c r="V230" s="508"/>
      <c r="W230" s="508"/>
      <c r="X230" s="508"/>
      <c r="Y230" s="508"/>
      <c r="Z230" s="508"/>
      <c r="AA230" s="508"/>
      <c r="AB230" s="508"/>
      <c r="AC230" s="508"/>
      <c r="AD230" s="273"/>
      <c r="AE230" s="261" t="s">
        <v>337</v>
      </c>
      <c r="AF230" s="223"/>
      <c r="AG230" s="223"/>
      <c r="AH230" s="273"/>
      <c r="AI230" s="273"/>
      <c r="AJ230" s="273"/>
    </row>
    <row r="231" spans="1:36" ht="15.75" customHeight="1">
      <c r="A231" s="223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62"/>
      <c r="R231" s="223"/>
      <c r="S231" s="223"/>
      <c r="T231" s="223"/>
      <c r="U231" s="223"/>
      <c r="V231" s="223"/>
      <c r="W231" s="223"/>
      <c r="X231" s="223"/>
      <c r="Y231" s="223"/>
      <c r="Z231" s="223"/>
      <c r="AA231" s="223"/>
      <c r="AB231" s="223"/>
      <c r="AC231" s="223"/>
      <c r="AD231" s="273"/>
      <c r="AE231" s="262"/>
      <c r="AF231" s="223"/>
      <c r="AG231" s="223"/>
      <c r="AH231" s="273"/>
      <c r="AI231" s="273"/>
      <c r="AJ231" s="273"/>
    </row>
    <row r="232" spans="1:36" ht="15.75" customHeight="1">
      <c r="A232" s="223" t="s">
        <v>281</v>
      </c>
      <c r="B232" s="242">
        <v>31</v>
      </c>
      <c r="C232" s="242">
        <v>31</v>
      </c>
      <c r="D232" s="242">
        <v>32</v>
      </c>
      <c r="E232" s="242">
        <v>33</v>
      </c>
      <c r="F232" s="242">
        <v>33</v>
      </c>
      <c r="G232" s="242">
        <f>F232+$S$50</f>
        <v>33.07</v>
      </c>
      <c r="H232" s="242">
        <f t="shared" ref="H232:P232" si="376">G232+$S$50</f>
        <v>33.14</v>
      </c>
      <c r="I232" s="242">
        <f t="shared" si="376"/>
        <v>33.21</v>
      </c>
      <c r="J232" s="242">
        <f t="shared" si="376"/>
        <v>33.28</v>
      </c>
      <c r="K232" s="242">
        <f t="shared" si="376"/>
        <v>33.35</v>
      </c>
      <c r="L232" s="242">
        <f t="shared" si="376"/>
        <v>33.42</v>
      </c>
      <c r="M232" s="242">
        <f t="shared" si="376"/>
        <v>33.49</v>
      </c>
      <c r="N232" s="242">
        <f t="shared" si="376"/>
        <v>33.56</v>
      </c>
      <c r="O232" s="242">
        <f t="shared" si="376"/>
        <v>33.630000000000003</v>
      </c>
      <c r="P232" s="242">
        <f t="shared" si="376"/>
        <v>33.700000000000003</v>
      </c>
      <c r="Q232" s="262"/>
      <c r="R232" s="227" t="s">
        <v>274</v>
      </c>
      <c r="S232" s="229">
        <v>2.5000000000000001E-2</v>
      </c>
      <c r="T232" s="509"/>
      <c r="U232" s="509"/>
      <c r="V232" s="509"/>
      <c r="W232" s="509"/>
      <c r="X232" s="509"/>
      <c r="Y232" s="509"/>
      <c r="Z232" s="509"/>
      <c r="AA232" s="509"/>
      <c r="AB232" s="509"/>
      <c r="AC232" s="509"/>
      <c r="AD232" s="273"/>
      <c r="AE232" s="261" t="s">
        <v>343</v>
      </c>
      <c r="AF232" s="223"/>
      <c r="AG232" s="223"/>
      <c r="AH232" s="273"/>
      <c r="AI232" s="273"/>
      <c r="AJ232" s="273"/>
    </row>
    <row r="233" spans="1:36" ht="15.75" customHeight="1">
      <c r="A233" s="223" t="s">
        <v>282</v>
      </c>
      <c r="B233" s="242">
        <v>7</v>
      </c>
      <c r="C233" s="242">
        <v>12</v>
      </c>
      <c r="D233" s="242">
        <v>16</v>
      </c>
      <c r="E233" s="242">
        <v>19</v>
      </c>
      <c r="F233" s="242">
        <v>20</v>
      </c>
      <c r="G233" s="242">
        <f t="shared" ref="G233:P241" si="377">F233+$S$50</f>
        <v>20.07</v>
      </c>
      <c r="H233" s="242">
        <f t="shared" si="377"/>
        <v>20.14</v>
      </c>
      <c r="I233" s="242">
        <f t="shared" si="377"/>
        <v>20.21</v>
      </c>
      <c r="J233" s="242">
        <f t="shared" si="377"/>
        <v>20.28</v>
      </c>
      <c r="K233" s="242">
        <f t="shared" si="377"/>
        <v>20.350000000000001</v>
      </c>
      <c r="L233" s="242">
        <f t="shared" si="377"/>
        <v>20.420000000000002</v>
      </c>
      <c r="M233" s="242">
        <f t="shared" si="377"/>
        <v>20.490000000000002</v>
      </c>
      <c r="N233" s="242">
        <f t="shared" si="377"/>
        <v>20.560000000000002</v>
      </c>
      <c r="O233" s="242">
        <f t="shared" si="377"/>
        <v>20.630000000000003</v>
      </c>
      <c r="P233" s="242">
        <f t="shared" si="377"/>
        <v>20.700000000000003</v>
      </c>
      <c r="Q233" s="262"/>
      <c r="R233" s="223"/>
      <c r="S233" s="223"/>
      <c r="T233" s="223"/>
      <c r="U233" s="223"/>
      <c r="V233" s="223"/>
      <c r="W233" s="223"/>
      <c r="X233" s="223"/>
      <c r="Y233" s="223"/>
      <c r="Z233" s="223"/>
      <c r="AA233" s="223"/>
      <c r="AB233" s="223"/>
      <c r="AC233" s="223"/>
      <c r="AD233" s="273"/>
      <c r="AE233" s="262"/>
      <c r="AF233" s="223"/>
      <c r="AG233" s="223"/>
      <c r="AH233" s="273"/>
      <c r="AI233" s="273"/>
      <c r="AJ233" s="273"/>
    </row>
    <row r="234" spans="1:36" ht="15.75" customHeight="1">
      <c r="A234" s="223" t="s">
        <v>283</v>
      </c>
      <c r="B234" s="242">
        <v>7</v>
      </c>
      <c r="C234" s="242">
        <v>9</v>
      </c>
      <c r="D234" s="242">
        <v>9</v>
      </c>
      <c r="E234" s="242">
        <v>9</v>
      </c>
      <c r="F234" s="242">
        <v>10</v>
      </c>
      <c r="G234" s="242">
        <f t="shared" si="377"/>
        <v>10.07</v>
      </c>
      <c r="H234" s="242">
        <f t="shared" si="377"/>
        <v>10.14</v>
      </c>
      <c r="I234" s="242">
        <f t="shared" si="377"/>
        <v>10.210000000000001</v>
      </c>
      <c r="J234" s="242">
        <f t="shared" si="377"/>
        <v>10.280000000000001</v>
      </c>
      <c r="K234" s="242">
        <f t="shared" si="377"/>
        <v>10.350000000000001</v>
      </c>
      <c r="L234" s="242">
        <f t="shared" si="377"/>
        <v>10.420000000000002</v>
      </c>
      <c r="M234" s="242">
        <f t="shared" si="377"/>
        <v>10.490000000000002</v>
      </c>
      <c r="N234" s="242">
        <f t="shared" si="377"/>
        <v>10.560000000000002</v>
      </c>
      <c r="O234" s="242">
        <f t="shared" si="377"/>
        <v>10.630000000000003</v>
      </c>
      <c r="P234" s="242">
        <f t="shared" si="377"/>
        <v>10.700000000000003</v>
      </c>
      <c r="Q234" s="262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3"/>
      <c r="AD234" s="273"/>
      <c r="AE234" s="262"/>
      <c r="AF234" s="223"/>
      <c r="AG234" s="223"/>
      <c r="AH234" s="273"/>
      <c r="AI234" s="273"/>
      <c r="AJ234" s="273"/>
    </row>
    <row r="235" spans="1:36" ht="15.75" customHeight="1">
      <c r="A235" s="223" t="s">
        <v>284</v>
      </c>
      <c r="B235" s="242">
        <v>6</v>
      </c>
      <c r="C235" s="242">
        <v>6</v>
      </c>
      <c r="D235" s="242">
        <v>7</v>
      </c>
      <c r="E235" s="242">
        <v>8</v>
      </c>
      <c r="F235" s="242">
        <v>10</v>
      </c>
      <c r="G235" s="242">
        <f t="shared" si="377"/>
        <v>10.07</v>
      </c>
      <c r="H235" s="242">
        <f t="shared" si="377"/>
        <v>10.14</v>
      </c>
      <c r="I235" s="242">
        <f t="shared" si="377"/>
        <v>10.210000000000001</v>
      </c>
      <c r="J235" s="242">
        <f t="shared" si="377"/>
        <v>10.280000000000001</v>
      </c>
      <c r="K235" s="242">
        <f t="shared" si="377"/>
        <v>10.350000000000001</v>
      </c>
      <c r="L235" s="242">
        <f t="shared" si="377"/>
        <v>10.420000000000002</v>
      </c>
      <c r="M235" s="242">
        <f t="shared" si="377"/>
        <v>10.490000000000002</v>
      </c>
      <c r="N235" s="242">
        <f t="shared" si="377"/>
        <v>10.560000000000002</v>
      </c>
      <c r="O235" s="242">
        <f t="shared" si="377"/>
        <v>10.630000000000003</v>
      </c>
      <c r="P235" s="242">
        <f t="shared" si="377"/>
        <v>10.700000000000003</v>
      </c>
      <c r="Q235" s="262"/>
      <c r="R235" s="223"/>
      <c r="S235" s="223"/>
      <c r="T235" s="223"/>
      <c r="U235" s="223"/>
      <c r="V235" s="223"/>
      <c r="W235" s="223"/>
      <c r="X235" s="223"/>
      <c r="Y235" s="223"/>
      <c r="Z235" s="223"/>
      <c r="AA235" s="223"/>
      <c r="AB235" s="223"/>
      <c r="AC235" s="223"/>
      <c r="AD235" s="273"/>
      <c r="AE235" s="262"/>
      <c r="AF235" s="223"/>
      <c r="AG235" s="223"/>
      <c r="AH235" s="273"/>
      <c r="AI235" s="273"/>
      <c r="AJ235" s="273"/>
    </row>
    <row r="236" spans="1:36" ht="15.75" customHeight="1">
      <c r="A236" s="223" t="s">
        <v>285</v>
      </c>
      <c r="B236" s="242">
        <v>7</v>
      </c>
      <c r="C236" s="242">
        <v>7</v>
      </c>
      <c r="D236" s="242">
        <v>8</v>
      </c>
      <c r="E236" s="242">
        <v>8</v>
      </c>
      <c r="F236" s="242">
        <v>8</v>
      </c>
      <c r="G236" s="242">
        <f t="shared" si="377"/>
        <v>8.07</v>
      </c>
      <c r="H236" s="242">
        <f t="shared" si="377"/>
        <v>8.14</v>
      </c>
      <c r="I236" s="242">
        <f t="shared" si="377"/>
        <v>8.2100000000000009</v>
      </c>
      <c r="J236" s="242">
        <f t="shared" si="377"/>
        <v>8.2800000000000011</v>
      </c>
      <c r="K236" s="242">
        <f t="shared" si="377"/>
        <v>8.3500000000000014</v>
      </c>
      <c r="L236" s="242">
        <f t="shared" si="377"/>
        <v>8.4200000000000017</v>
      </c>
      <c r="M236" s="242">
        <f t="shared" si="377"/>
        <v>8.490000000000002</v>
      </c>
      <c r="N236" s="242">
        <f t="shared" si="377"/>
        <v>8.5600000000000023</v>
      </c>
      <c r="O236" s="242">
        <f t="shared" si="377"/>
        <v>8.6300000000000026</v>
      </c>
      <c r="P236" s="242">
        <f t="shared" si="377"/>
        <v>8.7000000000000028</v>
      </c>
      <c r="Q236" s="262"/>
      <c r="R236" s="223"/>
      <c r="S236" s="223"/>
      <c r="T236" s="223"/>
      <c r="U236" s="223"/>
      <c r="V236" s="223"/>
      <c r="W236" s="223"/>
      <c r="X236" s="223"/>
      <c r="Y236" s="223"/>
      <c r="Z236" s="223"/>
      <c r="AA236" s="223"/>
      <c r="AB236" s="223"/>
      <c r="AC236" s="223"/>
      <c r="AD236" s="273"/>
      <c r="AE236" s="262"/>
      <c r="AF236" s="223"/>
      <c r="AG236" s="223"/>
      <c r="AH236" s="273"/>
      <c r="AI236" s="273"/>
      <c r="AJ236" s="273"/>
    </row>
    <row r="237" spans="1:36" ht="15.75" customHeight="1">
      <c r="A237" s="223" t="s">
        <v>286</v>
      </c>
      <c r="B237" s="242">
        <v>2</v>
      </c>
      <c r="C237" s="242">
        <v>5</v>
      </c>
      <c r="D237" s="242">
        <v>7</v>
      </c>
      <c r="E237" s="242">
        <v>8</v>
      </c>
      <c r="F237" s="242">
        <v>8</v>
      </c>
      <c r="G237" s="242">
        <f t="shared" si="377"/>
        <v>8.07</v>
      </c>
      <c r="H237" s="242">
        <f t="shared" si="377"/>
        <v>8.14</v>
      </c>
      <c r="I237" s="242">
        <f t="shared" si="377"/>
        <v>8.2100000000000009</v>
      </c>
      <c r="J237" s="242">
        <f t="shared" si="377"/>
        <v>8.2800000000000011</v>
      </c>
      <c r="K237" s="242">
        <f t="shared" si="377"/>
        <v>8.3500000000000014</v>
      </c>
      <c r="L237" s="242">
        <f t="shared" si="377"/>
        <v>8.4200000000000017</v>
      </c>
      <c r="M237" s="242">
        <f t="shared" si="377"/>
        <v>8.490000000000002</v>
      </c>
      <c r="N237" s="242">
        <f t="shared" si="377"/>
        <v>8.5600000000000023</v>
      </c>
      <c r="O237" s="242">
        <f t="shared" si="377"/>
        <v>8.6300000000000026</v>
      </c>
      <c r="P237" s="242">
        <f t="shared" si="377"/>
        <v>8.7000000000000028</v>
      </c>
      <c r="Q237" s="262"/>
      <c r="R237" s="223"/>
      <c r="S237" s="223"/>
      <c r="T237" s="223"/>
      <c r="U237" s="223"/>
      <c r="V237" s="223"/>
      <c r="W237" s="223"/>
      <c r="X237" s="223"/>
      <c r="Y237" s="223"/>
      <c r="Z237" s="223"/>
      <c r="AA237" s="223"/>
      <c r="AB237" s="223"/>
      <c r="AC237" s="223"/>
      <c r="AD237" s="273"/>
      <c r="AE237" s="262"/>
      <c r="AF237" s="223"/>
      <c r="AG237" s="223"/>
      <c r="AH237" s="273"/>
      <c r="AI237" s="273"/>
      <c r="AJ237" s="273"/>
    </row>
    <row r="238" spans="1:36" ht="15.75" customHeight="1">
      <c r="A238" s="223" t="s">
        <v>287</v>
      </c>
      <c r="B238" s="242">
        <v>4</v>
      </c>
      <c r="C238" s="242">
        <v>6</v>
      </c>
      <c r="D238" s="242">
        <v>8</v>
      </c>
      <c r="E238" s="242">
        <v>7</v>
      </c>
      <c r="F238" s="242">
        <v>7</v>
      </c>
      <c r="G238" s="242">
        <f t="shared" si="377"/>
        <v>7.07</v>
      </c>
      <c r="H238" s="242">
        <f t="shared" si="377"/>
        <v>7.1400000000000006</v>
      </c>
      <c r="I238" s="242">
        <f t="shared" si="377"/>
        <v>7.2100000000000009</v>
      </c>
      <c r="J238" s="242">
        <f t="shared" si="377"/>
        <v>7.2800000000000011</v>
      </c>
      <c r="K238" s="242">
        <f t="shared" si="377"/>
        <v>7.3500000000000014</v>
      </c>
      <c r="L238" s="242">
        <f t="shared" si="377"/>
        <v>7.4200000000000017</v>
      </c>
      <c r="M238" s="242">
        <f t="shared" si="377"/>
        <v>7.490000000000002</v>
      </c>
      <c r="N238" s="242">
        <f t="shared" si="377"/>
        <v>7.5600000000000023</v>
      </c>
      <c r="O238" s="242">
        <f t="shared" si="377"/>
        <v>7.6300000000000026</v>
      </c>
      <c r="P238" s="242">
        <f t="shared" si="377"/>
        <v>7.7000000000000028</v>
      </c>
      <c r="Q238" s="262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3"/>
      <c r="AD238" s="273"/>
      <c r="AE238" s="262"/>
      <c r="AF238" s="223"/>
      <c r="AG238" s="223"/>
      <c r="AH238" s="273"/>
      <c r="AI238" s="273"/>
      <c r="AJ238" s="273"/>
    </row>
    <row r="239" spans="1:36" ht="15.75" customHeight="1">
      <c r="A239" s="223" t="s">
        <v>288</v>
      </c>
      <c r="B239" s="242">
        <v>2</v>
      </c>
      <c r="C239" s="242">
        <v>2</v>
      </c>
      <c r="D239" s="242">
        <v>2</v>
      </c>
      <c r="E239" s="242">
        <v>3</v>
      </c>
      <c r="F239" s="242">
        <v>5</v>
      </c>
      <c r="G239" s="242">
        <f t="shared" si="377"/>
        <v>5.07</v>
      </c>
      <c r="H239" s="242">
        <f t="shared" si="377"/>
        <v>5.1400000000000006</v>
      </c>
      <c r="I239" s="242">
        <f t="shared" si="377"/>
        <v>5.2100000000000009</v>
      </c>
      <c r="J239" s="242">
        <f t="shared" si="377"/>
        <v>5.2800000000000011</v>
      </c>
      <c r="K239" s="242">
        <f t="shared" si="377"/>
        <v>5.3500000000000014</v>
      </c>
      <c r="L239" s="242">
        <f t="shared" si="377"/>
        <v>5.4200000000000017</v>
      </c>
      <c r="M239" s="242">
        <f t="shared" si="377"/>
        <v>5.490000000000002</v>
      </c>
      <c r="N239" s="242">
        <f t="shared" si="377"/>
        <v>5.5600000000000023</v>
      </c>
      <c r="O239" s="242">
        <f t="shared" si="377"/>
        <v>5.6300000000000026</v>
      </c>
      <c r="P239" s="242">
        <f t="shared" si="377"/>
        <v>5.7000000000000028</v>
      </c>
      <c r="Q239" s="262"/>
      <c r="R239" s="223"/>
      <c r="S239" s="223"/>
      <c r="T239" s="223"/>
      <c r="U239" s="223"/>
      <c r="V239" s="223"/>
      <c r="W239" s="223"/>
      <c r="X239" s="223"/>
      <c r="Y239" s="223"/>
      <c r="Z239" s="223"/>
      <c r="AA239" s="223"/>
      <c r="AB239" s="223"/>
      <c r="AC239" s="223"/>
      <c r="AD239" s="273"/>
      <c r="AE239" s="262"/>
      <c r="AF239" s="223"/>
      <c r="AG239" s="223"/>
      <c r="AH239" s="273"/>
      <c r="AI239" s="273"/>
      <c r="AJ239" s="273"/>
    </row>
    <row r="240" spans="1:36" ht="15.75" customHeight="1">
      <c r="A240" s="223" t="s">
        <v>289</v>
      </c>
      <c r="B240" s="242">
        <v>0</v>
      </c>
      <c r="C240" s="242">
        <v>0</v>
      </c>
      <c r="D240" s="242">
        <v>0</v>
      </c>
      <c r="E240" s="242">
        <v>1</v>
      </c>
      <c r="F240" s="242">
        <v>4</v>
      </c>
      <c r="G240" s="242">
        <f t="shared" si="377"/>
        <v>4.07</v>
      </c>
      <c r="H240" s="242">
        <f t="shared" si="377"/>
        <v>4.1400000000000006</v>
      </c>
      <c r="I240" s="242">
        <f t="shared" si="377"/>
        <v>4.2100000000000009</v>
      </c>
      <c r="J240" s="242">
        <f t="shared" si="377"/>
        <v>4.2800000000000011</v>
      </c>
      <c r="K240" s="242">
        <f t="shared" si="377"/>
        <v>4.3500000000000014</v>
      </c>
      <c r="L240" s="242">
        <f t="shared" si="377"/>
        <v>4.4200000000000017</v>
      </c>
      <c r="M240" s="242">
        <f t="shared" si="377"/>
        <v>4.490000000000002</v>
      </c>
      <c r="N240" s="242">
        <f t="shared" si="377"/>
        <v>4.5600000000000023</v>
      </c>
      <c r="O240" s="242">
        <f t="shared" si="377"/>
        <v>4.6300000000000026</v>
      </c>
      <c r="P240" s="242">
        <f t="shared" si="377"/>
        <v>4.7000000000000028</v>
      </c>
      <c r="Q240" s="262"/>
      <c r="R240" s="223"/>
      <c r="S240" s="223"/>
      <c r="T240" s="223"/>
      <c r="U240" s="223"/>
      <c r="V240" s="223"/>
      <c r="W240" s="223"/>
      <c r="X240" s="223"/>
      <c r="Y240" s="223"/>
      <c r="Z240" s="223"/>
      <c r="AA240" s="223"/>
      <c r="AB240" s="223"/>
      <c r="AC240" s="223"/>
      <c r="AD240" s="273"/>
      <c r="AE240" s="262"/>
      <c r="AF240" s="223"/>
      <c r="AG240" s="223"/>
      <c r="AH240" s="273"/>
      <c r="AI240" s="273"/>
      <c r="AJ240" s="273"/>
    </row>
    <row r="241" spans="1:36" ht="15.75" customHeight="1">
      <c r="A241" s="223" t="s">
        <v>290</v>
      </c>
      <c r="B241" s="242">
        <v>2</v>
      </c>
      <c r="C241" s="242">
        <v>2</v>
      </c>
      <c r="D241" s="242">
        <v>2</v>
      </c>
      <c r="E241" s="242">
        <v>2</v>
      </c>
      <c r="F241" s="242">
        <v>2</v>
      </c>
      <c r="G241" s="242">
        <f t="shared" si="377"/>
        <v>2.0699999999999998</v>
      </c>
      <c r="H241" s="242">
        <f t="shared" si="377"/>
        <v>2.1399999999999997</v>
      </c>
      <c r="I241" s="242">
        <f t="shared" si="377"/>
        <v>2.2099999999999995</v>
      </c>
      <c r="J241" s="242">
        <f t="shared" si="377"/>
        <v>2.2799999999999994</v>
      </c>
      <c r="K241" s="242">
        <f t="shared" si="377"/>
        <v>2.3499999999999992</v>
      </c>
      <c r="L241" s="242">
        <f t="shared" si="377"/>
        <v>2.419999999999999</v>
      </c>
      <c r="M241" s="242">
        <f t="shared" si="377"/>
        <v>2.4899999999999989</v>
      </c>
      <c r="N241" s="242">
        <f t="shared" si="377"/>
        <v>2.5599999999999987</v>
      </c>
      <c r="O241" s="242">
        <f t="shared" si="377"/>
        <v>2.6299999999999986</v>
      </c>
      <c r="P241" s="242">
        <f t="shared" si="377"/>
        <v>2.6999999999999984</v>
      </c>
      <c r="Q241" s="262"/>
      <c r="R241" s="261"/>
      <c r="S241" s="285"/>
      <c r="T241" s="285"/>
      <c r="U241" s="285"/>
      <c r="V241" s="285"/>
      <c r="W241" s="285"/>
      <c r="X241" s="285"/>
      <c r="Y241" s="285"/>
      <c r="Z241" s="285"/>
      <c r="AA241" s="285"/>
      <c r="AB241" s="285"/>
      <c r="AC241" s="285"/>
      <c r="AD241" s="273"/>
      <c r="AE241" s="261"/>
      <c r="AF241" s="223"/>
      <c r="AG241" s="223"/>
      <c r="AH241" s="273"/>
      <c r="AI241" s="273"/>
      <c r="AJ241" s="273"/>
    </row>
    <row r="242" spans="1:36" ht="15.75" customHeight="1">
      <c r="A242" s="223" t="s">
        <v>340</v>
      </c>
      <c r="B242" s="242">
        <v>0</v>
      </c>
      <c r="C242" s="242">
        <v>0</v>
      </c>
      <c r="D242" s="242">
        <v>0</v>
      </c>
      <c r="E242" s="242">
        <v>0</v>
      </c>
      <c r="F242" s="242">
        <v>0</v>
      </c>
      <c r="G242" s="249">
        <v>2</v>
      </c>
      <c r="H242" s="242">
        <f>G242+$S242</f>
        <v>3</v>
      </c>
      <c r="I242" s="242">
        <f t="shared" ref="I242:P242" si="378">H242+$S242</f>
        <v>4</v>
      </c>
      <c r="J242" s="242">
        <f t="shared" si="378"/>
        <v>5</v>
      </c>
      <c r="K242" s="242">
        <f t="shared" si="378"/>
        <v>6</v>
      </c>
      <c r="L242" s="242">
        <f t="shared" si="378"/>
        <v>7</v>
      </c>
      <c r="M242" s="242">
        <f t="shared" si="378"/>
        <v>8</v>
      </c>
      <c r="N242" s="242">
        <f t="shared" si="378"/>
        <v>9</v>
      </c>
      <c r="O242" s="242">
        <f t="shared" si="378"/>
        <v>10</v>
      </c>
      <c r="P242" s="242">
        <f t="shared" si="378"/>
        <v>11</v>
      </c>
      <c r="Q242" s="262"/>
      <c r="R242" s="227" t="s">
        <v>274</v>
      </c>
      <c r="S242" s="283">
        <v>1</v>
      </c>
      <c r="T242" s="510"/>
      <c r="U242" s="510"/>
      <c r="V242" s="510"/>
      <c r="W242" s="510"/>
      <c r="X242" s="510"/>
      <c r="Y242" s="510"/>
      <c r="Z242" s="510"/>
      <c r="AA242" s="510"/>
      <c r="AB242" s="510"/>
      <c r="AC242" s="510"/>
      <c r="AD242" s="273"/>
      <c r="AE242" s="261" t="s">
        <v>344</v>
      </c>
      <c r="AF242" s="223"/>
      <c r="AG242" s="223"/>
      <c r="AH242" s="273"/>
      <c r="AI242" s="273"/>
      <c r="AJ242" s="273"/>
    </row>
    <row r="243" spans="1:36" ht="15.75" customHeight="1">
      <c r="A243" s="240" t="s">
        <v>301</v>
      </c>
      <c r="B243" s="245">
        <f>SUM(B232:B242)</f>
        <v>68</v>
      </c>
      <c r="C243" s="245">
        <f t="shared" ref="C243:D243" si="379">SUM(C232:C242)</f>
        <v>80</v>
      </c>
      <c r="D243" s="245">
        <f t="shared" si="379"/>
        <v>91</v>
      </c>
      <c r="E243" s="245">
        <f>SUM(E232:E242)</f>
        <v>98</v>
      </c>
      <c r="F243" s="245">
        <f>SUM(F232:F242)</f>
        <v>107</v>
      </c>
      <c r="G243" s="245">
        <f>SUM(G232:G242)</f>
        <v>109.69999999999996</v>
      </c>
      <c r="H243" s="245">
        <f t="shared" ref="H243:P243" si="380">SUM(H232:H242)</f>
        <v>111.4</v>
      </c>
      <c r="I243" s="245">
        <f t="shared" si="380"/>
        <v>113.10000000000004</v>
      </c>
      <c r="J243" s="245">
        <f t="shared" si="380"/>
        <v>114.80000000000001</v>
      </c>
      <c r="K243" s="245">
        <f t="shared" si="380"/>
        <v>116.49999999999997</v>
      </c>
      <c r="L243" s="245">
        <f t="shared" si="380"/>
        <v>118.20000000000002</v>
      </c>
      <c r="M243" s="245">
        <f t="shared" si="380"/>
        <v>119.90000000000005</v>
      </c>
      <c r="N243" s="245">
        <f t="shared" si="380"/>
        <v>121.60000000000002</v>
      </c>
      <c r="O243" s="245">
        <f t="shared" si="380"/>
        <v>123.29999999999998</v>
      </c>
      <c r="P243" s="245">
        <f t="shared" si="380"/>
        <v>125.00000000000003</v>
      </c>
      <c r="Q243" s="262"/>
      <c r="R243" s="223"/>
      <c r="S243" s="223"/>
      <c r="T243" s="223"/>
      <c r="U243" s="223"/>
      <c r="V243" s="223"/>
      <c r="W243" s="223"/>
      <c r="X243" s="223"/>
      <c r="Y243" s="223"/>
      <c r="Z243" s="223"/>
      <c r="AA243" s="223"/>
      <c r="AB243" s="223"/>
      <c r="AC243" s="223"/>
      <c r="AD243" s="273"/>
      <c r="AE243" s="261"/>
      <c r="AF243" s="223"/>
      <c r="AG243" s="223"/>
      <c r="AH243" s="273"/>
      <c r="AI243" s="273"/>
      <c r="AJ243" s="273"/>
    </row>
    <row r="244" spans="1:36" ht="15.75" customHeight="1">
      <c r="A244" s="250" t="s">
        <v>336</v>
      </c>
      <c r="B244" s="242"/>
      <c r="C244" s="246">
        <f t="shared" ref="C244:P244" si="381">C243/B243-1</f>
        <v>0.17647058823529416</v>
      </c>
      <c r="D244" s="246">
        <f t="shared" si="381"/>
        <v>0.13749999999999996</v>
      </c>
      <c r="E244" s="246">
        <f t="shared" si="381"/>
        <v>7.6923076923076872E-2</v>
      </c>
      <c r="F244" s="246">
        <f t="shared" si="381"/>
        <v>9.1836734693877542E-2</v>
      </c>
      <c r="G244" s="246">
        <f t="shared" si="381"/>
        <v>2.5233644859812721E-2</v>
      </c>
      <c r="H244" s="246">
        <f t="shared" si="381"/>
        <v>1.5496809480401552E-2</v>
      </c>
      <c r="I244" s="246">
        <f t="shared" si="381"/>
        <v>1.5260323159784761E-2</v>
      </c>
      <c r="J244" s="246">
        <f t="shared" si="381"/>
        <v>1.5030946065428541E-2</v>
      </c>
      <c r="K244" s="246">
        <f t="shared" si="381"/>
        <v>1.480836236933758E-2</v>
      </c>
      <c r="L244" s="246">
        <f t="shared" si="381"/>
        <v>1.4592274678111972E-2</v>
      </c>
      <c r="M244" s="246">
        <f t="shared" si="381"/>
        <v>1.4382402707276087E-2</v>
      </c>
      <c r="N244" s="246">
        <f t="shared" si="381"/>
        <v>1.4178482068390119E-2</v>
      </c>
      <c r="O244" s="246">
        <f t="shared" si="381"/>
        <v>1.3980263157894468E-2</v>
      </c>
      <c r="P244" s="246">
        <f t="shared" si="381"/>
        <v>1.3787510137875492E-2</v>
      </c>
      <c r="Q244" s="262"/>
      <c r="R244" s="261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  <c r="AD244" s="273"/>
      <c r="AE244" s="261"/>
      <c r="AF244" s="262"/>
      <c r="AG244" s="223"/>
      <c r="AH244" s="273"/>
      <c r="AI244" s="273"/>
      <c r="AJ244" s="273"/>
    </row>
    <row r="245" spans="1:36" ht="15.75" customHeight="1">
      <c r="A245" s="223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73"/>
      <c r="AE245" s="261"/>
      <c r="AF245" s="262"/>
      <c r="AG245" s="223"/>
      <c r="AH245" s="273"/>
      <c r="AI245" s="273"/>
      <c r="AJ245" s="273"/>
    </row>
    <row r="246" spans="1:36" ht="15.75" customHeight="1">
      <c r="A246" s="223" t="s">
        <v>291</v>
      </c>
      <c r="B246" s="242">
        <v>16</v>
      </c>
      <c r="C246" s="242">
        <v>17</v>
      </c>
      <c r="D246" s="242">
        <v>20</v>
      </c>
      <c r="E246" s="242">
        <v>20</v>
      </c>
      <c r="F246" s="242">
        <v>19</v>
      </c>
      <c r="G246" s="242">
        <f>F246+$S$64</f>
        <v>19.04</v>
      </c>
      <c r="H246" s="242">
        <f t="shared" ref="H246:P246" si="382">G246+$S$64</f>
        <v>19.079999999999998</v>
      </c>
      <c r="I246" s="242">
        <f t="shared" si="382"/>
        <v>19.119999999999997</v>
      </c>
      <c r="J246" s="242">
        <f t="shared" si="382"/>
        <v>19.159999999999997</v>
      </c>
      <c r="K246" s="242">
        <f t="shared" si="382"/>
        <v>19.199999999999996</v>
      </c>
      <c r="L246" s="242">
        <f t="shared" si="382"/>
        <v>19.239999999999995</v>
      </c>
      <c r="M246" s="242">
        <f t="shared" si="382"/>
        <v>19.279999999999994</v>
      </c>
      <c r="N246" s="242">
        <f t="shared" si="382"/>
        <v>19.319999999999993</v>
      </c>
      <c r="O246" s="242">
        <f t="shared" si="382"/>
        <v>19.359999999999992</v>
      </c>
      <c r="P246" s="242">
        <f t="shared" si="382"/>
        <v>19.399999999999991</v>
      </c>
      <c r="Q246" s="262"/>
      <c r="R246" s="227" t="s">
        <v>274</v>
      </c>
      <c r="S246" s="280">
        <v>0.02</v>
      </c>
      <c r="T246" s="509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273"/>
      <c r="AE246" s="261" t="s">
        <v>341</v>
      </c>
      <c r="AF246" s="223"/>
      <c r="AG246" s="223"/>
      <c r="AH246" s="273"/>
      <c r="AI246" s="273"/>
      <c r="AJ246" s="273"/>
    </row>
    <row r="247" spans="1:36" ht="15.75" customHeight="1">
      <c r="A247" s="223" t="s">
        <v>292</v>
      </c>
      <c r="B247" s="242">
        <v>7</v>
      </c>
      <c r="C247" s="242">
        <v>9</v>
      </c>
      <c r="D247" s="242">
        <v>10</v>
      </c>
      <c r="E247" s="242">
        <v>9</v>
      </c>
      <c r="F247" s="242">
        <v>9</v>
      </c>
      <c r="G247" s="242">
        <f t="shared" ref="G247:P254" si="383">F247+$S$64</f>
        <v>9.0399999999999991</v>
      </c>
      <c r="H247" s="242">
        <f t="shared" si="383"/>
        <v>9.0799999999999983</v>
      </c>
      <c r="I247" s="242">
        <f t="shared" si="383"/>
        <v>9.1199999999999974</v>
      </c>
      <c r="J247" s="242">
        <f t="shared" si="383"/>
        <v>9.1599999999999966</v>
      </c>
      <c r="K247" s="242">
        <f t="shared" si="383"/>
        <v>9.1999999999999957</v>
      </c>
      <c r="L247" s="242">
        <f t="shared" si="383"/>
        <v>9.2399999999999949</v>
      </c>
      <c r="M247" s="242">
        <f t="shared" si="383"/>
        <v>9.279999999999994</v>
      </c>
      <c r="N247" s="242">
        <f t="shared" si="383"/>
        <v>9.3199999999999932</v>
      </c>
      <c r="O247" s="242">
        <f t="shared" si="383"/>
        <v>9.3599999999999923</v>
      </c>
      <c r="P247" s="242">
        <f t="shared" si="383"/>
        <v>9.3999999999999915</v>
      </c>
      <c r="Q247" s="262"/>
      <c r="R247" s="223"/>
      <c r="S247" s="223"/>
      <c r="T247" s="223"/>
      <c r="U247" s="223"/>
      <c r="V247" s="223"/>
      <c r="W247" s="223"/>
      <c r="X247" s="223"/>
      <c r="Y247" s="223"/>
      <c r="Z247" s="223"/>
      <c r="AA247" s="223"/>
      <c r="AB247" s="223"/>
      <c r="AC247" s="223"/>
      <c r="AD247" s="273"/>
      <c r="AE247" s="261"/>
      <c r="AF247" s="223"/>
      <c r="AG247" s="223"/>
      <c r="AH247" s="273"/>
      <c r="AI247" s="273"/>
      <c r="AJ247" s="273"/>
    </row>
    <row r="248" spans="1:36" ht="15.75" customHeight="1">
      <c r="A248" s="223" t="s">
        <v>293</v>
      </c>
      <c r="B248" s="242">
        <v>3</v>
      </c>
      <c r="C248" s="242">
        <v>3</v>
      </c>
      <c r="D248" s="242">
        <v>4</v>
      </c>
      <c r="E248" s="242">
        <v>6</v>
      </c>
      <c r="F248" s="242">
        <v>6</v>
      </c>
      <c r="G248" s="242">
        <f t="shared" si="383"/>
        <v>6.04</v>
      </c>
      <c r="H248" s="242">
        <f t="shared" si="383"/>
        <v>6.08</v>
      </c>
      <c r="I248" s="242">
        <f t="shared" si="383"/>
        <v>6.12</v>
      </c>
      <c r="J248" s="242">
        <f t="shared" si="383"/>
        <v>6.16</v>
      </c>
      <c r="K248" s="242">
        <f t="shared" si="383"/>
        <v>6.2</v>
      </c>
      <c r="L248" s="242">
        <f t="shared" si="383"/>
        <v>6.24</v>
      </c>
      <c r="M248" s="242">
        <f t="shared" si="383"/>
        <v>6.28</v>
      </c>
      <c r="N248" s="242">
        <f t="shared" si="383"/>
        <v>6.32</v>
      </c>
      <c r="O248" s="242">
        <f t="shared" si="383"/>
        <v>6.36</v>
      </c>
      <c r="P248" s="242">
        <f t="shared" si="383"/>
        <v>6.4</v>
      </c>
      <c r="Q248" s="262"/>
      <c r="R248" s="223"/>
      <c r="S248" s="223"/>
      <c r="T248" s="223"/>
      <c r="U248" s="223"/>
      <c r="V248" s="223"/>
      <c r="W248" s="223"/>
      <c r="X248" s="223"/>
      <c r="Y248" s="223"/>
      <c r="Z248" s="223"/>
      <c r="AA248" s="223"/>
      <c r="AB248" s="223"/>
      <c r="AC248" s="223"/>
      <c r="AD248" s="273"/>
      <c r="AE248" s="261"/>
      <c r="AF248" s="223"/>
      <c r="AG248" s="223"/>
      <c r="AH248" s="273"/>
      <c r="AI248" s="273"/>
      <c r="AJ248" s="273"/>
    </row>
    <row r="249" spans="1:36" ht="15.75" customHeight="1">
      <c r="A249" s="223" t="s">
        <v>294</v>
      </c>
      <c r="B249" s="242">
        <v>1</v>
      </c>
      <c r="C249" s="242">
        <v>3</v>
      </c>
      <c r="D249" s="242">
        <v>4</v>
      </c>
      <c r="E249" s="242">
        <v>4</v>
      </c>
      <c r="F249" s="242">
        <v>4</v>
      </c>
      <c r="G249" s="242">
        <f t="shared" si="383"/>
        <v>4.04</v>
      </c>
      <c r="H249" s="242">
        <f t="shared" si="383"/>
        <v>4.08</v>
      </c>
      <c r="I249" s="242">
        <f t="shared" si="383"/>
        <v>4.12</v>
      </c>
      <c r="J249" s="242">
        <f t="shared" si="383"/>
        <v>4.16</v>
      </c>
      <c r="K249" s="242">
        <f t="shared" si="383"/>
        <v>4.2</v>
      </c>
      <c r="L249" s="242">
        <f t="shared" si="383"/>
        <v>4.24</v>
      </c>
      <c r="M249" s="242">
        <f t="shared" si="383"/>
        <v>4.28</v>
      </c>
      <c r="N249" s="242">
        <f t="shared" si="383"/>
        <v>4.32</v>
      </c>
      <c r="O249" s="242">
        <f t="shared" si="383"/>
        <v>4.3600000000000003</v>
      </c>
      <c r="P249" s="242">
        <f t="shared" si="383"/>
        <v>4.4000000000000004</v>
      </c>
      <c r="Q249" s="262"/>
      <c r="R249" s="223"/>
      <c r="S249" s="223"/>
      <c r="T249" s="223"/>
      <c r="U249" s="223"/>
      <c r="V249" s="223"/>
      <c r="W249" s="223"/>
      <c r="X249" s="223"/>
      <c r="Y249" s="223"/>
      <c r="Z249" s="223"/>
      <c r="AA249" s="223"/>
      <c r="AB249" s="223"/>
      <c r="AC249" s="223"/>
      <c r="AD249" s="273"/>
      <c r="AE249" s="261"/>
      <c r="AF249" s="223"/>
      <c r="AG249" s="223"/>
      <c r="AH249" s="273"/>
      <c r="AI249" s="273"/>
      <c r="AJ249" s="273"/>
    </row>
    <row r="250" spans="1:36" ht="15.75" customHeight="1">
      <c r="A250" s="223" t="s">
        <v>295</v>
      </c>
      <c r="B250" s="242">
        <v>0</v>
      </c>
      <c r="C250" s="242">
        <v>0</v>
      </c>
      <c r="D250" s="242">
        <v>3</v>
      </c>
      <c r="E250" s="242">
        <v>3</v>
      </c>
      <c r="F250" s="242">
        <v>3</v>
      </c>
      <c r="G250" s="242">
        <f t="shared" si="383"/>
        <v>3.04</v>
      </c>
      <c r="H250" s="242">
        <f t="shared" si="383"/>
        <v>3.08</v>
      </c>
      <c r="I250" s="242">
        <f t="shared" si="383"/>
        <v>3.12</v>
      </c>
      <c r="J250" s="242">
        <f t="shared" si="383"/>
        <v>3.16</v>
      </c>
      <c r="K250" s="242">
        <f t="shared" si="383"/>
        <v>3.2</v>
      </c>
      <c r="L250" s="242">
        <f t="shared" si="383"/>
        <v>3.24</v>
      </c>
      <c r="M250" s="242">
        <f t="shared" si="383"/>
        <v>3.2800000000000002</v>
      </c>
      <c r="N250" s="242">
        <f t="shared" si="383"/>
        <v>3.3200000000000003</v>
      </c>
      <c r="O250" s="242">
        <f t="shared" si="383"/>
        <v>3.3600000000000003</v>
      </c>
      <c r="P250" s="242">
        <f t="shared" si="383"/>
        <v>3.4000000000000004</v>
      </c>
      <c r="Q250" s="262"/>
      <c r="R250" s="223"/>
      <c r="S250" s="223"/>
      <c r="T250" s="223"/>
      <c r="U250" s="223"/>
      <c r="V250" s="223"/>
      <c r="W250" s="223"/>
      <c r="X250" s="223"/>
      <c r="Y250" s="223"/>
      <c r="Z250" s="223"/>
      <c r="AA250" s="223"/>
      <c r="AB250" s="223"/>
      <c r="AC250" s="223"/>
      <c r="AD250" s="273"/>
      <c r="AE250" s="261"/>
      <c r="AF250" s="223"/>
      <c r="AG250" s="223"/>
      <c r="AH250" s="273"/>
      <c r="AI250" s="273"/>
      <c r="AJ250" s="273"/>
    </row>
    <row r="251" spans="1:36" ht="15.75" customHeight="1">
      <c r="A251" s="223" t="s">
        <v>296</v>
      </c>
      <c r="B251" s="242">
        <v>1</v>
      </c>
      <c r="C251" s="242">
        <v>1</v>
      </c>
      <c r="D251" s="242">
        <v>1</v>
      </c>
      <c r="E251" s="242">
        <v>2</v>
      </c>
      <c r="F251" s="242">
        <v>2</v>
      </c>
      <c r="G251" s="242">
        <f t="shared" si="383"/>
        <v>2.04</v>
      </c>
      <c r="H251" s="242">
        <f t="shared" si="383"/>
        <v>2.08</v>
      </c>
      <c r="I251" s="242">
        <f t="shared" si="383"/>
        <v>2.12</v>
      </c>
      <c r="J251" s="242">
        <f t="shared" si="383"/>
        <v>2.16</v>
      </c>
      <c r="K251" s="242">
        <f t="shared" si="383"/>
        <v>2.2000000000000002</v>
      </c>
      <c r="L251" s="242">
        <f t="shared" si="383"/>
        <v>2.2400000000000002</v>
      </c>
      <c r="M251" s="242">
        <f t="shared" si="383"/>
        <v>2.2800000000000002</v>
      </c>
      <c r="N251" s="242">
        <f t="shared" si="383"/>
        <v>2.3200000000000003</v>
      </c>
      <c r="O251" s="242">
        <f t="shared" si="383"/>
        <v>2.3600000000000003</v>
      </c>
      <c r="P251" s="242">
        <f t="shared" si="383"/>
        <v>2.4000000000000004</v>
      </c>
      <c r="Q251" s="262"/>
      <c r="R251" s="223"/>
      <c r="S251" s="223"/>
      <c r="T251" s="223"/>
      <c r="U251" s="223"/>
      <c r="V251" s="223"/>
      <c r="W251" s="223"/>
      <c r="X251" s="223"/>
      <c r="Y251" s="223"/>
      <c r="Z251" s="223"/>
      <c r="AA251" s="223"/>
      <c r="AB251" s="223"/>
      <c r="AC251" s="223"/>
      <c r="AD251" s="273"/>
      <c r="AE251" s="261"/>
      <c r="AF251" s="223"/>
      <c r="AG251" s="223"/>
      <c r="AH251" s="273"/>
      <c r="AI251" s="273"/>
      <c r="AJ251" s="273"/>
    </row>
    <row r="252" spans="1:36" ht="15.75" customHeight="1">
      <c r="A252" s="223" t="s">
        <v>297</v>
      </c>
      <c r="B252" s="242">
        <v>2</v>
      </c>
      <c r="C252" s="242">
        <v>2</v>
      </c>
      <c r="D252" s="242">
        <v>2</v>
      </c>
      <c r="E252" s="242">
        <v>2</v>
      </c>
      <c r="F252" s="242">
        <v>2</v>
      </c>
      <c r="G252" s="242">
        <f t="shared" si="383"/>
        <v>2.04</v>
      </c>
      <c r="H252" s="242">
        <f t="shared" si="383"/>
        <v>2.08</v>
      </c>
      <c r="I252" s="242">
        <f t="shared" si="383"/>
        <v>2.12</v>
      </c>
      <c r="J252" s="242">
        <f t="shared" si="383"/>
        <v>2.16</v>
      </c>
      <c r="K252" s="242">
        <f t="shared" si="383"/>
        <v>2.2000000000000002</v>
      </c>
      <c r="L252" s="242">
        <f t="shared" si="383"/>
        <v>2.2400000000000002</v>
      </c>
      <c r="M252" s="242">
        <f t="shared" si="383"/>
        <v>2.2800000000000002</v>
      </c>
      <c r="N252" s="242">
        <f t="shared" si="383"/>
        <v>2.3200000000000003</v>
      </c>
      <c r="O252" s="242">
        <f t="shared" si="383"/>
        <v>2.3600000000000003</v>
      </c>
      <c r="P252" s="242">
        <f t="shared" si="383"/>
        <v>2.4000000000000004</v>
      </c>
      <c r="Q252" s="262"/>
      <c r="R252" s="223"/>
      <c r="S252" s="223"/>
      <c r="T252" s="223"/>
      <c r="U252" s="223"/>
      <c r="V252" s="223"/>
      <c r="W252" s="223"/>
      <c r="X252" s="223"/>
      <c r="Y252" s="223"/>
      <c r="Z252" s="223"/>
      <c r="AA252" s="223"/>
      <c r="AB252" s="223"/>
      <c r="AC252" s="223"/>
      <c r="AD252" s="273"/>
      <c r="AE252" s="261"/>
      <c r="AF252" s="223"/>
      <c r="AG252" s="223"/>
      <c r="AH252" s="273"/>
      <c r="AI252" s="273"/>
      <c r="AJ252" s="273"/>
    </row>
    <row r="253" spans="1:36" ht="15.75" customHeight="1">
      <c r="A253" s="223" t="s">
        <v>298</v>
      </c>
      <c r="B253" s="242">
        <v>1</v>
      </c>
      <c r="C253" s="242">
        <v>1</v>
      </c>
      <c r="D253" s="242">
        <v>1</v>
      </c>
      <c r="E253" s="242">
        <v>1</v>
      </c>
      <c r="F253" s="242">
        <v>1</v>
      </c>
      <c r="G253" s="242">
        <f t="shared" si="383"/>
        <v>1.04</v>
      </c>
      <c r="H253" s="242">
        <f t="shared" si="383"/>
        <v>1.08</v>
      </c>
      <c r="I253" s="242">
        <f t="shared" si="383"/>
        <v>1.1200000000000001</v>
      </c>
      <c r="J253" s="242">
        <f t="shared" si="383"/>
        <v>1.1600000000000001</v>
      </c>
      <c r="K253" s="242">
        <f t="shared" si="383"/>
        <v>1.2000000000000002</v>
      </c>
      <c r="L253" s="242">
        <f t="shared" si="383"/>
        <v>1.2400000000000002</v>
      </c>
      <c r="M253" s="242">
        <f t="shared" si="383"/>
        <v>1.2800000000000002</v>
      </c>
      <c r="N253" s="242">
        <f t="shared" si="383"/>
        <v>1.3200000000000003</v>
      </c>
      <c r="O253" s="242">
        <f t="shared" si="383"/>
        <v>1.3600000000000003</v>
      </c>
      <c r="P253" s="242">
        <f t="shared" si="383"/>
        <v>1.4000000000000004</v>
      </c>
      <c r="Q253" s="262"/>
      <c r="R253" s="223"/>
      <c r="S253" s="223"/>
      <c r="T253" s="223"/>
      <c r="U253" s="223"/>
      <c r="V253" s="223"/>
      <c r="W253" s="223"/>
      <c r="X253" s="223"/>
      <c r="Y253" s="223"/>
      <c r="Z253" s="223"/>
      <c r="AA253" s="223"/>
      <c r="AB253" s="223"/>
      <c r="AC253" s="223"/>
      <c r="AD253" s="273"/>
      <c r="AE253" s="261"/>
      <c r="AF253" s="223"/>
      <c r="AG253" s="223"/>
      <c r="AH253" s="273"/>
      <c r="AI253" s="273"/>
      <c r="AJ253" s="273"/>
    </row>
    <row r="254" spans="1:36" ht="15.75" customHeight="1">
      <c r="A254" s="223" t="s">
        <v>299</v>
      </c>
      <c r="B254" s="242">
        <v>1</v>
      </c>
      <c r="C254" s="242">
        <v>1</v>
      </c>
      <c r="D254" s="242">
        <v>1</v>
      </c>
      <c r="E254" s="242">
        <v>1</v>
      </c>
      <c r="F254" s="242">
        <v>1</v>
      </c>
      <c r="G254" s="242">
        <f t="shared" si="383"/>
        <v>1.04</v>
      </c>
      <c r="H254" s="242">
        <f t="shared" si="383"/>
        <v>1.08</v>
      </c>
      <c r="I254" s="242">
        <f t="shared" si="383"/>
        <v>1.1200000000000001</v>
      </c>
      <c r="J254" s="242">
        <f t="shared" si="383"/>
        <v>1.1600000000000001</v>
      </c>
      <c r="K254" s="242">
        <f t="shared" si="383"/>
        <v>1.2000000000000002</v>
      </c>
      <c r="L254" s="242">
        <f t="shared" si="383"/>
        <v>1.2400000000000002</v>
      </c>
      <c r="M254" s="242">
        <f t="shared" si="383"/>
        <v>1.2800000000000002</v>
      </c>
      <c r="N254" s="242">
        <f t="shared" si="383"/>
        <v>1.3200000000000003</v>
      </c>
      <c r="O254" s="242">
        <f t="shared" si="383"/>
        <v>1.3600000000000003</v>
      </c>
      <c r="P254" s="242">
        <f t="shared" si="383"/>
        <v>1.4000000000000004</v>
      </c>
      <c r="Q254" s="262"/>
      <c r="R254" s="223"/>
      <c r="S254" s="223"/>
      <c r="T254" s="223"/>
      <c r="U254" s="223"/>
      <c r="V254" s="223"/>
      <c r="W254" s="223"/>
      <c r="X254" s="223"/>
      <c r="Y254" s="223"/>
      <c r="Z254" s="223"/>
      <c r="AA254" s="223"/>
      <c r="AB254" s="223"/>
      <c r="AC254" s="223"/>
      <c r="AD254" s="273"/>
      <c r="AE254" s="261"/>
      <c r="AF254" s="223"/>
      <c r="AG254" s="223"/>
      <c r="AH254" s="273"/>
      <c r="AI254" s="273"/>
      <c r="AJ254" s="273"/>
    </row>
    <row r="255" spans="1:36" ht="15.75" customHeight="1">
      <c r="A255" s="223" t="s">
        <v>340</v>
      </c>
      <c r="B255" s="242">
        <v>0</v>
      </c>
      <c r="C255" s="242">
        <v>0</v>
      </c>
      <c r="D255" s="242">
        <v>0</v>
      </c>
      <c r="E255" s="242">
        <v>0</v>
      </c>
      <c r="F255" s="242">
        <v>0</v>
      </c>
      <c r="G255" s="249">
        <v>2</v>
      </c>
      <c r="H255" s="242">
        <f>G255+$S255</f>
        <v>2</v>
      </c>
      <c r="I255" s="242">
        <f t="shared" ref="I255:P255" si="384">H255+$S255</f>
        <v>2</v>
      </c>
      <c r="J255" s="242">
        <f t="shared" si="384"/>
        <v>2</v>
      </c>
      <c r="K255" s="242">
        <f t="shared" si="384"/>
        <v>2</v>
      </c>
      <c r="L255" s="242">
        <f t="shared" si="384"/>
        <v>2</v>
      </c>
      <c r="M255" s="242">
        <f t="shared" si="384"/>
        <v>2</v>
      </c>
      <c r="N255" s="242">
        <f t="shared" si="384"/>
        <v>2</v>
      </c>
      <c r="O255" s="242">
        <f t="shared" si="384"/>
        <v>2</v>
      </c>
      <c r="P255" s="242">
        <f t="shared" si="384"/>
        <v>2</v>
      </c>
      <c r="Q255" s="262"/>
      <c r="R255" s="227" t="s">
        <v>274</v>
      </c>
      <c r="S255" s="283">
        <v>0</v>
      </c>
      <c r="T255" s="510"/>
      <c r="U255" s="510"/>
      <c r="V255" s="510"/>
      <c r="W255" s="510"/>
      <c r="X255" s="510"/>
      <c r="Y255" s="510"/>
      <c r="Z255" s="510"/>
      <c r="AA255" s="510"/>
      <c r="AB255" s="510"/>
      <c r="AC255" s="510"/>
      <c r="AD255" s="273"/>
      <c r="AE255" s="261" t="s">
        <v>342</v>
      </c>
      <c r="AF255" s="223"/>
      <c r="AG255" s="223"/>
      <c r="AH255" s="273"/>
      <c r="AI255" s="273"/>
      <c r="AJ255" s="273"/>
    </row>
    <row r="256" spans="1:36" ht="15.75" customHeight="1">
      <c r="A256" s="240" t="s">
        <v>302</v>
      </c>
      <c r="B256" s="245">
        <f>SUM(B246:B255)</f>
        <v>32</v>
      </c>
      <c r="C256" s="245">
        <f t="shared" ref="C256:P256" si="385">SUM(C246:C255)</f>
        <v>37</v>
      </c>
      <c r="D256" s="245">
        <f t="shared" si="385"/>
        <v>46</v>
      </c>
      <c r="E256" s="245">
        <f t="shared" si="385"/>
        <v>48</v>
      </c>
      <c r="F256" s="245">
        <f t="shared" si="385"/>
        <v>47</v>
      </c>
      <c r="G256" s="245">
        <f t="shared" si="385"/>
        <v>49.359999999999992</v>
      </c>
      <c r="H256" s="245">
        <f t="shared" si="385"/>
        <v>49.719999999999985</v>
      </c>
      <c r="I256" s="245">
        <f t="shared" si="385"/>
        <v>50.079999999999977</v>
      </c>
      <c r="J256" s="245">
        <f t="shared" si="385"/>
        <v>50.439999999999969</v>
      </c>
      <c r="K256" s="245">
        <f t="shared" si="385"/>
        <v>50.800000000000011</v>
      </c>
      <c r="L256" s="245">
        <f t="shared" si="385"/>
        <v>51.160000000000004</v>
      </c>
      <c r="M256" s="245">
        <f t="shared" si="385"/>
        <v>51.519999999999996</v>
      </c>
      <c r="N256" s="245">
        <f t="shared" si="385"/>
        <v>51.879999999999988</v>
      </c>
      <c r="O256" s="245">
        <f t="shared" si="385"/>
        <v>52.239999999999981</v>
      </c>
      <c r="P256" s="245">
        <f t="shared" si="385"/>
        <v>52.599999999999973</v>
      </c>
      <c r="Q256" s="262"/>
      <c r="R256" s="223"/>
      <c r="S256" s="223"/>
      <c r="T256" s="223"/>
      <c r="U256" s="223"/>
      <c r="V256" s="223"/>
      <c r="W256" s="223"/>
      <c r="X256" s="223"/>
      <c r="Y256" s="223"/>
      <c r="Z256" s="223"/>
      <c r="AA256" s="223"/>
      <c r="AB256" s="223"/>
      <c r="AC256" s="223"/>
      <c r="AD256" s="273"/>
      <c r="AE256" s="261"/>
      <c r="AF256" s="223"/>
      <c r="AG256" s="223"/>
      <c r="AH256" s="273"/>
      <c r="AI256" s="273"/>
      <c r="AJ256" s="273"/>
    </row>
    <row r="257" spans="1:36" ht="15.75" customHeight="1">
      <c r="A257" s="250" t="s">
        <v>336</v>
      </c>
      <c r="B257" s="242"/>
      <c r="C257" s="246">
        <f t="shared" ref="C257:P257" si="386">C256/B256-1</f>
        <v>0.15625</v>
      </c>
      <c r="D257" s="246">
        <f t="shared" si="386"/>
        <v>0.2432432432432432</v>
      </c>
      <c r="E257" s="246">
        <f t="shared" si="386"/>
        <v>4.3478260869565188E-2</v>
      </c>
      <c r="F257" s="246">
        <f t="shared" si="386"/>
        <v>-2.083333333333337E-2</v>
      </c>
      <c r="G257" s="246">
        <f t="shared" si="386"/>
        <v>5.0212765957446726E-2</v>
      </c>
      <c r="H257" s="246">
        <f t="shared" si="386"/>
        <v>7.2933549432736555E-3</v>
      </c>
      <c r="I257" s="246">
        <f t="shared" si="386"/>
        <v>7.2405470635557023E-3</v>
      </c>
      <c r="J257" s="246">
        <f t="shared" si="386"/>
        <v>7.1884984025558651E-3</v>
      </c>
      <c r="K257" s="246">
        <f t="shared" si="386"/>
        <v>7.1371927042038763E-3</v>
      </c>
      <c r="L257" s="246">
        <f t="shared" si="386"/>
        <v>7.0866141732282006E-3</v>
      </c>
      <c r="M257" s="246">
        <f t="shared" si="386"/>
        <v>7.0367474589521084E-3</v>
      </c>
      <c r="N257" s="246">
        <f t="shared" si="386"/>
        <v>6.9875776397514411E-3</v>
      </c>
      <c r="O257" s="246">
        <f t="shared" si="386"/>
        <v>6.9390902081725159E-3</v>
      </c>
      <c r="P257" s="246">
        <f t="shared" si="386"/>
        <v>6.8912710566613189E-3</v>
      </c>
      <c r="Q257" s="262"/>
      <c r="R257" s="261"/>
      <c r="S257" s="284"/>
      <c r="T257" s="284"/>
      <c r="U257" s="284"/>
      <c r="V257" s="284"/>
      <c r="W257" s="284"/>
      <c r="X257" s="284"/>
      <c r="Y257" s="284"/>
      <c r="Z257" s="284"/>
      <c r="AA257" s="284"/>
      <c r="AB257" s="284"/>
      <c r="AC257" s="284"/>
      <c r="AD257" s="273"/>
      <c r="AE257" s="262"/>
      <c r="AF257" s="223"/>
      <c r="AG257" s="223"/>
      <c r="AH257" s="273"/>
      <c r="AI257" s="273"/>
      <c r="AJ257" s="273"/>
    </row>
    <row r="258" spans="1:36" ht="15.75" customHeight="1">
      <c r="A258" s="223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62"/>
      <c r="R258" s="223"/>
      <c r="S258" s="223"/>
      <c r="T258" s="223"/>
      <c r="U258" s="223"/>
      <c r="V258" s="223"/>
      <c r="W258" s="223"/>
      <c r="X258" s="223"/>
      <c r="Y258" s="223"/>
      <c r="Z258" s="223"/>
      <c r="AA258" s="223"/>
      <c r="AB258" s="223"/>
      <c r="AC258" s="223"/>
      <c r="AD258" s="273"/>
      <c r="AE258" s="262"/>
      <c r="AF258" s="223"/>
      <c r="AG258" s="223"/>
      <c r="AH258" s="273"/>
      <c r="AI258" s="273"/>
      <c r="AJ258" s="273"/>
    </row>
    <row r="259" spans="1:36" ht="15.75" customHeight="1">
      <c r="A259" s="223" t="s">
        <v>300</v>
      </c>
      <c r="B259" s="247">
        <f>SUM(B256,B243,B226,B229)</f>
        <v>521</v>
      </c>
      <c r="C259" s="247">
        <f t="shared" ref="C259:P259" si="387">SUM(C256,C243,C226,C229)</f>
        <v>574</v>
      </c>
      <c r="D259" s="247">
        <f t="shared" si="387"/>
        <v>655</v>
      </c>
      <c r="E259" s="247">
        <f t="shared" si="387"/>
        <v>711</v>
      </c>
      <c r="F259" s="247">
        <f t="shared" si="387"/>
        <v>767</v>
      </c>
      <c r="G259" s="247">
        <f t="shared" si="387"/>
        <v>821.50000156401677</v>
      </c>
      <c r="H259" s="247">
        <f t="shared" si="387"/>
        <v>873.63430669918864</v>
      </c>
      <c r="I259" s="247">
        <f t="shared" si="387"/>
        <v>925.41243826437335</v>
      </c>
      <c r="J259" s="247">
        <f t="shared" si="387"/>
        <v>975.68693480659954</v>
      </c>
      <c r="K259" s="247">
        <f t="shared" si="387"/>
        <v>1023.2004114369583</v>
      </c>
      <c r="L259" s="247">
        <f t="shared" si="387"/>
        <v>1066.6505079741994</v>
      </c>
      <c r="M259" s="247">
        <f t="shared" si="387"/>
        <v>1104.7687881387531</v>
      </c>
      <c r="N259" s="247">
        <f t="shared" si="387"/>
        <v>1136.4071902498786</v>
      </c>
      <c r="O259" s="247">
        <f t="shared" si="387"/>
        <v>1160.6236878424161</v>
      </c>
      <c r="P259" s="247">
        <f t="shared" si="387"/>
        <v>1176.7578095063695</v>
      </c>
      <c r="Q259" s="262"/>
      <c r="R259" s="223"/>
      <c r="S259" s="223"/>
      <c r="T259" s="223"/>
      <c r="U259" s="223"/>
      <c r="V259" s="223"/>
      <c r="W259" s="223"/>
      <c r="X259" s="223"/>
      <c r="Y259" s="223"/>
      <c r="Z259" s="223"/>
      <c r="AA259" s="223"/>
      <c r="AB259" s="223"/>
      <c r="AC259" s="223"/>
      <c r="AD259" s="273"/>
      <c r="AE259" s="262"/>
      <c r="AF259" s="223"/>
      <c r="AG259" s="223"/>
      <c r="AH259" s="273"/>
      <c r="AI259" s="273"/>
      <c r="AJ259" s="273"/>
    </row>
    <row r="260" spans="1:36" ht="15.75" customHeight="1">
      <c r="A260" s="250" t="s">
        <v>336</v>
      </c>
      <c r="B260" s="242"/>
      <c r="C260" s="251">
        <f>C259/B259-1</f>
        <v>0.10172744721689053</v>
      </c>
      <c r="D260" s="251">
        <f t="shared" ref="D260:P260" si="388">D259/C259-1</f>
        <v>0.14111498257839727</v>
      </c>
      <c r="E260" s="251">
        <f t="shared" si="388"/>
        <v>8.5496183206106968E-2</v>
      </c>
      <c r="F260" s="251">
        <f t="shared" si="388"/>
        <v>7.8762306610407951E-2</v>
      </c>
      <c r="G260" s="251">
        <f t="shared" si="388"/>
        <v>7.1056064620621529E-2</v>
      </c>
      <c r="H260" s="251">
        <f t="shared" si="388"/>
        <v>6.3462331145363038E-2</v>
      </c>
      <c r="I260" s="251">
        <f t="shared" si="388"/>
        <v>5.9267511781692317E-2</v>
      </c>
      <c r="J260" s="251">
        <f t="shared" si="388"/>
        <v>5.4326583978616894E-2</v>
      </c>
      <c r="K260" s="251">
        <f t="shared" si="388"/>
        <v>4.8697461178750956E-2</v>
      </c>
      <c r="L260" s="251">
        <f t="shared" si="388"/>
        <v>4.2464893535588688E-2</v>
      </c>
      <c r="M260" s="251">
        <f t="shared" si="388"/>
        <v>3.5736429017362514E-2</v>
      </c>
      <c r="N260" s="251">
        <f t="shared" si="388"/>
        <v>2.8638030374145584E-2</v>
      </c>
      <c r="O260" s="251">
        <f t="shared" si="388"/>
        <v>2.1309701135569847E-2</v>
      </c>
      <c r="P260" s="251">
        <f t="shared" si="388"/>
        <v>1.390125139867382E-2</v>
      </c>
      <c r="Q260" s="262"/>
      <c r="R260" s="223"/>
      <c r="S260" s="223"/>
      <c r="T260" s="223"/>
      <c r="U260" s="223"/>
      <c r="V260" s="223"/>
      <c r="W260" s="223"/>
      <c r="X260" s="223"/>
      <c r="Y260" s="223"/>
      <c r="Z260" s="223"/>
      <c r="AA260" s="223"/>
      <c r="AB260" s="223"/>
      <c r="AC260" s="223"/>
      <c r="AD260" s="273"/>
      <c r="AE260" s="262"/>
      <c r="AF260" s="223"/>
      <c r="AG260" s="223"/>
      <c r="AH260" s="273"/>
      <c r="AI260" s="273"/>
      <c r="AJ260" s="273"/>
    </row>
    <row r="261" spans="1:36" ht="15.75" customHeight="1">
      <c r="A261" s="223"/>
      <c r="B261" s="241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62"/>
      <c r="R261" s="223"/>
      <c r="S261" s="223"/>
      <c r="T261" s="223"/>
      <c r="U261" s="223"/>
      <c r="V261" s="223"/>
      <c r="W261" s="223"/>
      <c r="X261" s="223"/>
      <c r="Y261" s="223"/>
      <c r="Z261" s="223"/>
      <c r="AA261" s="223"/>
      <c r="AB261" s="223"/>
      <c r="AC261" s="223"/>
      <c r="AD261" s="273"/>
      <c r="AE261" s="262"/>
      <c r="AF261" s="223"/>
      <c r="AG261" s="223"/>
      <c r="AH261" s="273"/>
      <c r="AI261" s="273"/>
      <c r="AJ261" s="273"/>
    </row>
    <row r="262" spans="1:36" ht="15.75" customHeight="1">
      <c r="A262" s="226" t="s">
        <v>332</v>
      </c>
      <c r="B262" s="241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62"/>
      <c r="R262" s="223"/>
      <c r="S262" s="223"/>
      <c r="T262" s="223"/>
      <c r="U262" s="223"/>
      <c r="V262" s="223"/>
      <c r="W262" s="223"/>
      <c r="X262" s="223"/>
      <c r="Y262" s="223"/>
      <c r="Z262" s="223"/>
      <c r="AA262" s="223"/>
      <c r="AB262" s="223"/>
      <c r="AC262" s="223"/>
      <c r="AD262" s="273"/>
      <c r="AE262" s="262"/>
      <c r="AF262" s="223"/>
      <c r="AG262" s="223"/>
      <c r="AH262" s="273"/>
      <c r="AI262" s="273"/>
      <c r="AJ262" s="273"/>
    </row>
    <row r="263" spans="1:36" ht="15.75" customHeight="1">
      <c r="A263" s="223" t="s">
        <v>333</v>
      </c>
      <c r="B263" s="249">
        <v>3049.9059999999999</v>
      </c>
      <c r="C263" s="249">
        <v>4171.7619999999997</v>
      </c>
      <c r="D263" s="249">
        <v>5259.8029999999999</v>
      </c>
      <c r="E263" s="249">
        <v>6147.3720000000003</v>
      </c>
      <c r="F263" s="249">
        <v>6692.63</v>
      </c>
      <c r="G263" s="242">
        <f>F263*(1+G264)</f>
        <v>7256.1343170207329</v>
      </c>
      <c r="H263" s="242">
        <f t="shared" ref="H263:P263" si="389">G263*(1+H264)</f>
        <v>7834.431819282162</v>
      </c>
      <c r="I263" s="242">
        <f t="shared" si="389"/>
        <v>8423.5633820205694</v>
      </c>
      <c r="J263" s="242">
        <f t="shared" si="389"/>
        <v>9019.0902713004616</v>
      </c>
      <c r="K263" s="242">
        <f t="shared" si="389"/>
        <v>9616.1336592173284</v>
      </c>
      <c r="L263" s="242">
        <f t="shared" si="389"/>
        <v>10209.42736830544</v>
      </c>
      <c r="M263" s="242">
        <f t="shared" si="389"/>
        <v>10793.383534920849</v>
      </c>
      <c r="N263" s="242">
        <f t="shared" si="389"/>
        <v>11362.170448301373</v>
      </c>
      <c r="O263" s="242">
        <f t="shared" si="389"/>
        <v>11909.801379232302</v>
      </c>
      <c r="P263" s="242">
        <f t="shared" si="389"/>
        <v>12430.232776884179</v>
      </c>
      <c r="Q263" s="262"/>
      <c r="R263" s="223"/>
      <c r="S263" s="223"/>
      <c r="T263" s="223"/>
      <c r="U263" s="223"/>
      <c r="V263" s="223"/>
      <c r="W263" s="223"/>
      <c r="X263" s="223"/>
      <c r="Y263" s="223"/>
      <c r="Z263" s="223"/>
      <c r="AA263" s="223"/>
      <c r="AB263" s="223"/>
      <c r="AC263" s="223"/>
      <c r="AD263" s="273"/>
      <c r="AE263" s="262"/>
      <c r="AF263" s="223"/>
      <c r="AG263" s="223"/>
      <c r="AH263" s="273"/>
      <c r="AI263" s="273"/>
      <c r="AJ263" s="273"/>
    </row>
    <row r="264" spans="1:36" ht="15.75" customHeight="1">
      <c r="A264" s="236" t="s">
        <v>272</v>
      </c>
      <c r="B264" s="241"/>
      <c r="C264" s="251">
        <f>C263/B263-1</f>
        <v>0.36783297583597641</v>
      </c>
      <c r="D264" s="251">
        <f t="shared" ref="D264:F264" si="390">D263/C263-1</f>
        <v>0.26081089956713743</v>
      </c>
      <c r="E264" s="251">
        <f t="shared" si="390"/>
        <v>0.16874567355469394</v>
      </c>
      <c r="F264" s="251">
        <f t="shared" si="390"/>
        <v>8.8697739456795377E-2</v>
      </c>
      <c r="G264" s="246">
        <f>F264+$S264</f>
        <v>8.4197739456795373E-2</v>
      </c>
      <c r="H264" s="246">
        <f t="shared" ref="H264:P264" si="391">G264+$S264</f>
        <v>7.9697739456795369E-2</v>
      </c>
      <c r="I264" s="246">
        <f t="shared" si="391"/>
        <v>7.5197739456795365E-2</v>
      </c>
      <c r="J264" s="246">
        <f t="shared" si="391"/>
        <v>7.0697739456795361E-2</v>
      </c>
      <c r="K264" s="246">
        <f t="shared" si="391"/>
        <v>6.6197739456795357E-2</v>
      </c>
      <c r="L264" s="246">
        <f t="shared" si="391"/>
        <v>6.169773945679536E-2</v>
      </c>
      <c r="M264" s="246">
        <f t="shared" si="391"/>
        <v>5.7197739456795363E-2</v>
      </c>
      <c r="N264" s="246">
        <f t="shared" si="391"/>
        <v>5.2697739456795366E-2</v>
      </c>
      <c r="O264" s="246">
        <f t="shared" si="391"/>
        <v>4.8197739456795369E-2</v>
      </c>
      <c r="P264" s="246">
        <f t="shared" si="391"/>
        <v>4.3697739456795372E-2</v>
      </c>
      <c r="Q264" s="262"/>
      <c r="R264" s="227" t="s">
        <v>274</v>
      </c>
      <c r="S264" s="282">
        <v>-4.4999999999999997E-3</v>
      </c>
      <c r="T264" s="508"/>
      <c r="U264" s="508"/>
      <c r="V264" s="508"/>
      <c r="W264" s="508"/>
      <c r="X264" s="508"/>
      <c r="Y264" s="508"/>
      <c r="Z264" s="508"/>
      <c r="AA264" s="508"/>
      <c r="AB264" s="508"/>
      <c r="AC264" s="508"/>
      <c r="AD264" s="273"/>
      <c r="AE264" s="261" t="s">
        <v>456</v>
      </c>
      <c r="AF264" s="223"/>
      <c r="AG264" s="223"/>
      <c r="AH264" s="273"/>
      <c r="AI264" s="273"/>
      <c r="AJ264" s="273"/>
    </row>
    <row r="265" spans="1:36" ht="15.75" customHeight="1">
      <c r="A265" s="236" t="s">
        <v>304</v>
      </c>
      <c r="B265" s="246">
        <f>B263/B$90</f>
        <v>0.69286456988027156</v>
      </c>
      <c r="C265" s="246">
        <f t="shared" ref="C265:P265" si="392">C263/C$90</f>
        <v>0.66677599092289008</v>
      </c>
      <c r="D265" s="246">
        <f t="shared" si="392"/>
        <v>0.64851628465654099</v>
      </c>
      <c r="E265" s="246">
        <f t="shared" si="392"/>
        <v>0.63906792172967664</v>
      </c>
      <c r="F265" s="246">
        <f t="shared" si="392"/>
        <v>0.63208824677756947</v>
      </c>
      <c r="G265" s="246">
        <f t="shared" si="392"/>
        <v>0.61303057183044496</v>
      </c>
      <c r="H265" s="246">
        <f t="shared" si="392"/>
        <v>0.59537993778244591</v>
      </c>
      <c r="I265" s="246">
        <f t="shared" si="392"/>
        <v>0.57953241018001633</v>
      </c>
      <c r="J265" s="246">
        <f t="shared" si="392"/>
        <v>0.56583301556000076</v>
      </c>
      <c r="K265" s="246">
        <f t="shared" si="392"/>
        <v>0.55457314124877211</v>
      </c>
      <c r="L265" s="246">
        <f t="shared" si="392"/>
        <v>0.54599257773918064</v>
      </c>
      <c r="M265" s="246">
        <f t="shared" si="392"/>
        <v>0.54028415747613101</v>
      </c>
      <c r="N265" s="246">
        <f t="shared" si="392"/>
        <v>0.5375988406337161</v>
      </c>
      <c r="O265" s="246">
        <f t="shared" si="392"/>
        <v>0.53804926050155932</v>
      </c>
      <c r="P265" s="246">
        <f t="shared" si="392"/>
        <v>0.54171005443635312</v>
      </c>
      <c r="Q265" s="262"/>
      <c r="R265" s="223"/>
      <c r="S265" s="223"/>
      <c r="T265" s="223"/>
      <c r="U265" s="223"/>
      <c r="V265" s="223"/>
      <c r="W265" s="223"/>
      <c r="X265" s="223"/>
      <c r="Y265" s="223"/>
      <c r="Z265" s="223"/>
      <c r="AA265" s="223"/>
      <c r="AB265" s="223"/>
      <c r="AC265" s="223"/>
      <c r="AD265" s="273"/>
      <c r="AE265" s="261"/>
      <c r="AF265" s="223"/>
      <c r="AG265" s="223"/>
      <c r="AH265" s="273"/>
      <c r="AI265" s="273"/>
      <c r="AJ265" s="273"/>
    </row>
    <row r="266" spans="1:36" ht="15.75" customHeight="1">
      <c r="A266" s="223" t="s">
        <v>334</v>
      </c>
      <c r="B266" s="249">
        <v>953.18299999999999</v>
      </c>
      <c r="C266" s="249">
        <v>1535.85</v>
      </c>
      <c r="D266" s="249">
        <v>1956.6020000000001</v>
      </c>
      <c r="E266" s="249">
        <v>2252.7530000000002</v>
      </c>
      <c r="F266" s="249">
        <v>2558.38</v>
      </c>
      <c r="G266" s="242">
        <f>F266*(1+G267)</f>
        <v>3121.2236000000003</v>
      </c>
      <c r="H266" s="242">
        <f t="shared" ref="H266:P266" si="393">G266*(1+H267)</f>
        <v>3740.0061787000004</v>
      </c>
      <c r="I266" s="242">
        <f t="shared" si="393"/>
        <v>4400.1172692405507</v>
      </c>
      <c r="J266" s="242">
        <f t="shared" si="393"/>
        <v>5081.0354166555253</v>
      </c>
      <c r="K266" s="242">
        <f t="shared" si="393"/>
        <v>5756.8131270707099</v>
      </c>
      <c r="L266" s="242">
        <f t="shared" si="393"/>
        <v>6397.2585874573269</v>
      </c>
      <c r="M266" s="242">
        <f t="shared" si="393"/>
        <v>6969.8132310347582</v>
      </c>
      <c r="N266" s="242">
        <f t="shared" si="393"/>
        <v>7442.018077437363</v>
      </c>
      <c r="O266" s="242">
        <f t="shared" si="393"/>
        <v>7784.3509089994823</v>
      </c>
      <c r="P266" s="242">
        <f t="shared" si="393"/>
        <v>7973.1214185427207</v>
      </c>
      <c r="Q266" s="262"/>
      <c r="R266" s="223"/>
      <c r="S266" s="223"/>
      <c r="T266" s="223"/>
      <c r="U266" s="223"/>
      <c r="V266" s="223"/>
      <c r="W266" s="223"/>
      <c r="X266" s="223"/>
      <c r="Y266" s="223"/>
      <c r="Z266" s="223"/>
      <c r="AA266" s="223"/>
      <c r="AB266" s="223"/>
      <c r="AC266" s="223"/>
      <c r="AD266" s="273"/>
      <c r="AE266" s="261"/>
      <c r="AF266" s="223"/>
      <c r="AG266" s="223"/>
      <c r="AH266" s="273"/>
      <c r="AI266" s="273"/>
      <c r="AJ266" s="273"/>
    </row>
    <row r="267" spans="1:36" ht="15.75" customHeight="1">
      <c r="A267" s="236" t="s">
        <v>272</v>
      </c>
      <c r="B267" s="242"/>
      <c r="C267" s="251">
        <f>C266/B266-1</f>
        <v>0.61128555586912481</v>
      </c>
      <c r="D267" s="251">
        <f t="shared" ref="D267:F267" si="394">D266/C266-1</f>
        <v>0.27395383663769257</v>
      </c>
      <c r="E267" s="251">
        <f t="shared" si="394"/>
        <v>0.15135985754895476</v>
      </c>
      <c r="F267" s="251">
        <f t="shared" si="394"/>
        <v>0.13566822461228556</v>
      </c>
      <c r="G267" s="274">
        <v>0.22</v>
      </c>
      <c r="H267" s="246">
        <f t="shared" ref="H267:P267" si="395">G267+$S267</f>
        <v>0.19825000000000001</v>
      </c>
      <c r="I267" s="246">
        <f t="shared" si="395"/>
        <v>0.17650000000000002</v>
      </c>
      <c r="J267" s="246">
        <f t="shared" si="395"/>
        <v>0.15475000000000003</v>
      </c>
      <c r="K267" s="246">
        <f t="shared" si="395"/>
        <v>0.13300000000000003</v>
      </c>
      <c r="L267" s="246">
        <f t="shared" si="395"/>
        <v>0.11125000000000004</v>
      </c>
      <c r="M267" s="246">
        <f t="shared" si="395"/>
        <v>8.9500000000000052E-2</v>
      </c>
      <c r="N267" s="246">
        <f t="shared" si="395"/>
        <v>6.775000000000006E-2</v>
      </c>
      <c r="O267" s="246">
        <f t="shared" si="395"/>
        <v>4.6000000000000062E-2</v>
      </c>
      <c r="P267" s="246">
        <f t="shared" si="395"/>
        <v>2.4250000000000063E-2</v>
      </c>
      <c r="Q267" s="262"/>
      <c r="R267" s="227" t="s">
        <v>274</v>
      </c>
      <c r="S267" s="282">
        <v>-2.1749999999999999E-2</v>
      </c>
      <c r="T267" s="508"/>
      <c r="U267" s="508"/>
      <c r="V267" s="508"/>
      <c r="W267" s="508"/>
      <c r="X267" s="508"/>
      <c r="Y267" s="508"/>
      <c r="Z267" s="508"/>
      <c r="AA267" s="508"/>
      <c r="AB267" s="508"/>
      <c r="AC267" s="508"/>
      <c r="AD267" s="273"/>
      <c r="AE267" s="261" t="s">
        <v>457</v>
      </c>
      <c r="AF267" s="223"/>
      <c r="AG267" s="223"/>
      <c r="AH267" s="273"/>
      <c r="AI267" s="273"/>
      <c r="AJ267" s="273"/>
    </row>
    <row r="268" spans="1:36" ht="15.75" customHeight="1">
      <c r="A268" s="236" t="s">
        <v>304</v>
      </c>
      <c r="B268" s="246">
        <f>B266/B$90</f>
        <v>0.216540027565501</v>
      </c>
      <c r="C268" s="246">
        <f>C266/C$90</f>
        <v>0.24547610953331486</v>
      </c>
      <c r="D268" s="246">
        <f>D266/D$90</f>
        <v>0.24124254455757327</v>
      </c>
      <c r="E268" s="246">
        <f>E266/E$90</f>
        <v>0.23419148505740245</v>
      </c>
      <c r="F268" s="246">
        <f>F266/F$90</f>
        <v>0.24162727190817337</v>
      </c>
      <c r="G268" s="246">
        <f t="shared" ref="G268:P268" si="396">G266/G$90</f>
        <v>0.26369488280149389</v>
      </c>
      <c r="H268" s="246">
        <f t="shared" si="396"/>
        <v>0.28422286355213894</v>
      </c>
      <c r="I268" s="246">
        <f t="shared" si="396"/>
        <v>0.30272349722689618</v>
      </c>
      <c r="J268" s="246">
        <f t="shared" si="396"/>
        <v>0.31877024239594537</v>
      </c>
      <c r="K268" s="246">
        <f t="shared" si="396"/>
        <v>0.33200182657627686</v>
      </c>
      <c r="L268" s="246">
        <f t="shared" si="396"/>
        <v>0.342120628378561</v>
      </c>
      <c r="M268" s="246">
        <f t="shared" si="396"/>
        <v>0.34888778454987235</v>
      </c>
      <c r="N268" s="246">
        <f t="shared" si="396"/>
        <v>0.35211760892071464</v>
      </c>
      <c r="O268" s="246">
        <f t="shared" si="396"/>
        <v>0.3516737279410273</v>
      </c>
      <c r="P268" s="246">
        <f t="shared" si="396"/>
        <v>0.34746895856193943</v>
      </c>
      <c r="Q268" s="262"/>
      <c r="R268" s="223"/>
      <c r="S268" s="223"/>
      <c r="T268" s="223"/>
      <c r="U268" s="223"/>
      <c r="V268" s="223"/>
      <c r="W268" s="223"/>
      <c r="X268" s="223"/>
      <c r="Y268" s="223"/>
      <c r="Z268" s="223"/>
      <c r="AA268" s="223"/>
      <c r="AB268" s="223"/>
      <c r="AC268" s="223"/>
      <c r="AD268" s="273"/>
      <c r="AE268" s="261"/>
      <c r="AF268" s="223"/>
      <c r="AG268" s="223"/>
      <c r="AH268" s="273"/>
      <c r="AI268" s="273"/>
      <c r="AJ268" s="273"/>
    </row>
    <row r="269" spans="1:36" ht="15.75" customHeight="1">
      <c r="A269" s="223" t="s">
        <v>273</v>
      </c>
      <c r="B269" s="279">
        <v>398.79</v>
      </c>
      <c r="C269" s="279">
        <v>549.005</v>
      </c>
      <c r="D269" s="279">
        <v>849.11300000000006</v>
      </c>
      <c r="E269" s="279">
        <v>1219.153</v>
      </c>
      <c r="F269" s="279">
        <v>1337.116</v>
      </c>
      <c r="G269" s="242">
        <f>F269*(1+G270)</f>
        <v>1415.0139167275984</v>
      </c>
      <c r="H269" s="242">
        <f t="shared" ref="H269:P269" si="397">G269*(1+H270)</f>
        <v>1442.9719868912136</v>
      </c>
      <c r="I269" s="242">
        <f t="shared" si="397"/>
        <v>1415.9280355592862</v>
      </c>
      <c r="J269" s="242">
        <f t="shared" si="397"/>
        <v>1334.8777082901931</v>
      </c>
      <c r="K269" s="242">
        <f t="shared" si="397"/>
        <v>1207.0740591864519</v>
      </c>
      <c r="L269" s="242">
        <f t="shared" si="397"/>
        <v>1045.0342154368025</v>
      </c>
      <c r="M269" s="242">
        <f t="shared" si="397"/>
        <v>864.51308130912776</v>
      </c>
      <c r="N269" s="242">
        <f t="shared" si="397"/>
        <v>681.89174657292176</v>
      </c>
      <c r="O269" s="242">
        <f t="shared" si="397"/>
        <v>511.59484652214803</v>
      </c>
      <c r="P269" s="242">
        <f t="shared" si="397"/>
        <v>364.13180619030766</v>
      </c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73"/>
      <c r="AE269" s="261"/>
      <c r="AF269" s="223"/>
      <c r="AG269" s="223"/>
      <c r="AH269" s="273"/>
      <c r="AI269" s="273"/>
      <c r="AJ269" s="273"/>
    </row>
    <row r="270" spans="1:36" ht="15.75" customHeight="1">
      <c r="A270" s="236" t="s">
        <v>272</v>
      </c>
      <c r="B270" s="263"/>
      <c r="C270" s="251">
        <f>C269/B269-1</f>
        <v>0.37667694776699512</v>
      </c>
      <c r="D270" s="251">
        <f t="shared" ref="D270:F270" si="398">D269/C269-1</f>
        <v>0.5466398302383404</v>
      </c>
      <c r="E270" s="251">
        <f t="shared" si="398"/>
        <v>0.43579594235396213</v>
      </c>
      <c r="F270" s="251">
        <f t="shared" si="398"/>
        <v>9.6758159148195411E-2</v>
      </c>
      <c r="G270" s="246">
        <f>F270+$S270</f>
        <v>5.8258159148195411E-2</v>
      </c>
      <c r="H270" s="246">
        <f t="shared" ref="H270:P270" si="399">G270+$S270</f>
        <v>1.9758159148195412E-2</v>
      </c>
      <c r="I270" s="246">
        <f t="shared" si="399"/>
        <v>-1.8741840851804588E-2</v>
      </c>
      <c r="J270" s="246">
        <f t="shared" si="399"/>
        <v>-5.7241840851804587E-2</v>
      </c>
      <c r="K270" s="246">
        <f t="shared" si="399"/>
        <v>-9.5741840851804594E-2</v>
      </c>
      <c r="L270" s="246">
        <f t="shared" si="399"/>
        <v>-0.1342418408518046</v>
      </c>
      <c r="M270" s="246">
        <f t="shared" si="399"/>
        <v>-0.17274184085180461</v>
      </c>
      <c r="N270" s="246">
        <f t="shared" si="399"/>
        <v>-0.21124184085180461</v>
      </c>
      <c r="O270" s="246">
        <f t="shared" si="399"/>
        <v>-0.24974184085180462</v>
      </c>
      <c r="P270" s="246">
        <f t="shared" si="399"/>
        <v>-0.2882418408518046</v>
      </c>
      <c r="Q270" s="262"/>
      <c r="R270" s="227" t="s">
        <v>274</v>
      </c>
      <c r="S270" s="282">
        <v>-3.85E-2</v>
      </c>
      <c r="T270" s="508"/>
      <c r="U270" s="508"/>
      <c r="V270" s="508"/>
      <c r="W270" s="508"/>
      <c r="X270" s="508"/>
      <c r="Y270" s="508"/>
      <c r="Z270" s="508"/>
      <c r="AA270" s="508"/>
      <c r="AB270" s="508"/>
      <c r="AC270" s="508"/>
      <c r="AD270" s="273"/>
      <c r="AE270" s="261" t="s">
        <v>458</v>
      </c>
      <c r="AF270" s="223"/>
      <c r="AG270" s="223"/>
      <c r="AH270" s="273"/>
      <c r="AI270" s="273"/>
      <c r="AJ270" s="273"/>
    </row>
    <row r="271" spans="1:36" ht="15.75" customHeight="1">
      <c r="A271" s="236" t="s">
        <v>304</v>
      </c>
      <c r="B271" s="246">
        <f>B269/B$90</f>
        <v>9.0595402554227419E-2</v>
      </c>
      <c r="C271" s="246">
        <f t="shared" ref="C271:P271" si="400">C269/C$90</f>
        <v>8.7747899543794985E-2</v>
      </c>
      <c r="D271" s="246">
        <f t="shared" si="400"/>
        <v>0.10469281986674588</v>
      </c>
      <c r="E271" s="246">
        <f t="shared" si="400"/>
        <v>0.12674059321292097</v>
      </c>
      <c r="F271" s="246">
        <f t="shared" si="400"/>
        <v>0.12628448131425712</v>
      </c>
      <c r="G271" s="246">
        <f>G269/G$90</f>
        <v>0.11954668320910007</v>
      </c>
      <c r="H271" s="246">
        <f>H269/H$90</f>
        <v>0.10965907823240469</v>
      </c>
      <c r="I271" s="246">
        <f t="shared" si="400"/>
        <v>9.741437796272584E-2</v>
      </c>
      <c r="J271" s="246">
        <f t="shared" si="400"/>
        <v>8.3746570481631713E-2</v>
      </c>
      <c r="K271" s="246">
        <f t="shared" si="400"/>
        <v>6.9613305767779979E-2</v>
      </c>
      <c r="L271" s="246">
        <f t="shared" si="400"/>
        <v>5.5887652120756214E-2</v>
      </c>
      <c r="M271" s="246">
        <f t="shared" si="400"/>
        <v>4.3274911917194396E-2</v>
      </c>
      <c r="N271" s="246">
        <f t="shared" si="400"/>
        <v>3.2263572709394298E-2</v>
      </c>
      <c r="O271" s="246">
        <f t="shared" si="400"/>
        <v>2.3112327408552784E-2</v>
      </c>
      <c r="P271" s="246">
        <f t="shared" si="400"/>
        <v>1.5868879054315162E-2</v>
      </c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73"/>
      <c r="AE271" s="262"/>
      <c r="AF271" s="223"/>
      <c r="AG271" s="223"/>
      <c r="AH271" s="273"/>
      <c r="AI271" s="273"/>
      <c r="AJ271" s="273"/>
    </row>
    <row r="272" spans="1:36" ht="15.75" customHeight="1">
      <c r="A272" s="262" t="s">
        <v>335</v>
      </c>
      <c r="B272" s="278">
        <f>B202</f>
        <v>0</v>
      </c>
      <c r="C272" s="278">
        <f t="shared" ref="C272:F272" si="401">C202</f>
        <v>0</v>
      </c>
      <c r="D272" s="278">
        <f t="shared" si="401"/>
        <v>0</v>
      </c>
      <c r="E272" s="278">
        <f t="shared" si="401"/>
        <v>0</v>
      </c>
      <c r="F272" s="278">
        <f t="shared" si="401"/>
        <v>0</v>
      </c>
      <c r="G272" s="263">
        <f>SUM(G269,G266,G263)</f>
        <v>11792.371833748331</v>
      </c>
      <c r="H272" s="263">
        <f>SUM(H269,H266,H263)</f>
        <v>13017.409984873375</v>
      </c>
      <c r="I272" s="263">
        <f t="shared" ref="I272:P272" si="402">SUM(I269,I266,I263)</f>
        <v>14239.608686820407</v>
      </c>
      <c r="J272" s="263">
        <f t="shared" si="402"/>
        <v>15435.00339624618</v>
      </c>
      <c r="K272" s="263">
        <f t="shared" si="402"/>
        <v>16580.02084547449</v>
      </c>
      <c r="L272" s="263">
        <f t="shared" si="402"/>
        <v>17651.720171199569</v>
      </c>
      <c r="M272" s="263">
        <f t="shared" si="402"/>
        <v>18627.709847264734</v>
      </c>
      <c r="N272" s="263">
        <f t="shared" si="402"/>
        <v>19486.080272311658</v>
      </c>
      <c r="O272" s="263">
        <f t="shared" si="402"/>
        <v>20205.747134753932</v>
      </c>
      <c r="P272" s="263">
        <f t="shared" si="402"/>
        <v>20767.48600161721</v>
      </c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73"/>
      <c r="AE272" s="262"/>
      <c r="AF272" s="223"/>
      <c r="AG272" s="223"/>
      <c r="AH272" s="273"/>
      <c r="AI272" s="273"/>
      <c r="AJ272" s="273"/>
    </row>
    <row r="273" spans="1:36" ht="15.75" customHeight="1">
      <c r="A273" s="262"/>
      <c r="B273" s="278"/>
      <c r="C273" s="278"/>
      <c r="D273" s="278"/>
      <c r="E273" s="278"/>
      <c r="F273" s="278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73"/>
      <c r="AE273" s="261"/>
      <c r="AF273" s="227"/>
      <c r="AG273" s="227"/>
      <c r="AH273" s="273"/>
      <c r="AI273" s="273"/>
      <c r="AJ273" s="273"/>
    </row>
    <row r="274" spans="1:36" ht="15.75" customHeight="1">
      <c r="A274" s="262"/>
      <c r="B274" s="278"/>
      <c r="C274" s="278"/>
      <c r="D274" s="278"/>
      <c r="E274" s="278"/>
      <c r="F274" s="278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73"/>
      <c r="AE274" s="261"/>
      <c r="AF274" s="227"/>
      <c r="AG274" s="227"/>
      <c r="AH274" s="273"/>
      <c r="AI274" s="273"/>
      <c r="AJ274" s="273"/>
    </row>
    <row r="275" spans="1:36" ht="15.75" customHeight="1">
      <c r="A275" s="262"/>
      <c r="B275" s="278"/>
      <c r="C275" s="278"/>
      <c r="D275" s="278"/>
      <c r="E275" s="278"/>
      <c r="F275" s="278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73"/>
      <c r="AE275" s="261"/>
      <c r="AF275" s="227"/>
      <c r="AG275" s="227"/>
      <c r="AH275" s="273"/>
      <c r="AI275" s="273"/>
      <c r="AJ275" s="273"/>
    </row>
    <row r="276" spans="1:36" ht="15.75" customHeight="1">
      <c r="A276" s="262"/>
      <c r="B276" s="278"/>
      <c r="C276" s="278"/>
      <c r="D276" s="278"/>
      <c r="E276" s="278"/>
      <c r="F276" s="278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73"/>
      <c r="AE276" s="261"/>
      <c r="AF276" s="227"/>
      <c r="AG276" s="227"/>
      <c r="AH276" s="273"/>
      <c r="AI276" s="273"/>
      <c r="AJ276" s="273"/>
    </row>
    <row r="277" spans="1:36" ht="15.75" customHeight="1">
      <c r="A277" s="262"/>
      <c r="B277" s="278"/>
      <c r="C277" s="278"/>
      <c r="D277" s="278"/>
      <c r="E277" s="278"/>
      <c r="F277" s="278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73"/>
      <c r="AE277" s="261"/>
      <c r="AF277" s="227"/>
      <c r="AG277" s="227"/>
      <c r="AH277" s="273"/>
      <c r="AI277" s="273"/>
      <c r="AJ277" s="273"/>
    </row>
    <row r="278" spans="1:36" ht="15.75" customHeight="1">
      <c r="A278" s="262"/>
      <c r="B278" s="278"/>
      <c r="C278" s="278"/>
      <c r="D278" s="278"/>
      <c r="E278" s="278"/>
      <c r="F278" s="278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73"/>
      <c r="AE278" s="261"/>
      <c r="AF278" s="227"/>
      <c r="AG278" s="227"/>
      <c r="AH278" s="273"/>
      <c r="AI278" s="273"/>
      <c r="AJ278" s="273"/>
    </row>
    <row r="279" spans="1:36" ht="15.75" customHeight="1">
      <c r="A279" s="262"/>
      <c r="B279" s="278"/>
      <c r="C279" s="278"/>
      <c r="D279" s="278"/>
      <c r="E279" s="278"/>
      <c r="F279" s="278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73"/>
      <c r="AE279" s="261"/>
      <c r="AF279" s="227"/>
      <c r="AG279" s="227"/>
      <c r="AH279" s="273"/>
      <c r="AI279" s="273"/>
      <c r="AJ279" s="273"/>
    </row>
    <row r="280" spans="1:36" ht="15.75" customHeight="1">
      <c r="A280" s="262"/>
      <c r="B280" s="278"/>
      <c r="C280" s="278"/>
      <c r="D280" s="278"/>
      <c r="E280" s="278"/>
      <c r="F280" s="278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73"/>
      <c r="AE280" s="261"/>
      <c r="AF280" s="227"/>
      <c r="AG280" s="227"/>
      <c r="AH280" s="273"/>
      <c r="AI280" s="273"/>
      <c r="AJ280" s="273"/>
    </row>
    <row r="281" spans="1:36" ht="15.75" customHeight="1">
      <c r="A281" s="262"/>
      <c r="B281" s="278"/>
      <c r="C281" s="278"/>
      <c r="D281" s="278"/>
      <c r="E281" s="278"/>
      <c r="F281" s="278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73"/>
      <c r="AE281" s="261"/>
      <c r="AF281" s="227"/>
      <c r="AG281" s="227"/>
      <c r="AH281" s="273"/>
      <c r="AI281" s="273"/>
      <c r="AJ281" s="273"/>
    </row>
    <row r="282" spans="1:36" ht="15.75" customHeight="1">
      <c r="A282" s="262"/>
      <c r="B282" s="278"/>
      <c r="C282" s="278"/>
      <c r="D282" s="278"/>
      <c r="E282" s="278"/>
      <c r="F282" s="278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73"/>
      <c r="AE282" s="261"/>
      <c r="AF282" s="227"/>
      <c r="AG282" s="227"/>
      <c r="AH282" s="273"/>
      <c r="AI282" s="273"/>
      <c r="AJ282" s="273"/>
    </row>
    <row r="283" spans="1:36" ht="15.75" customHeight="1">
      <c r="A283" s="262"/>
      <c r="B283" s="278"/>
      <c r="C283" s="278"/>
      <c r="D283" s="278"/>
      <c r="E283" s="278"/>
      <c r="F283" s="278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73"/>
      <c r="AE283" s="261"/>
      <c r="AF283" s="227"/>
      <c r="AG283" s="227"/>
      <c r="AH283" s="273"/>
      <c r="AI283" s="273"/>
      <c r="AJ283" s="273"/>
    </row>
    <row r="284" spans="1:36" ht="15.75" customHeight="1">
      <c r="A284" s="262"/>
      <c r="B284" s="278"/>
      <c r="C284" s="278"/>
      <c r="D284" s="278"/>
      <c r="E284" s="278"/>
      <c r="F284" s="278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73"/>
      <c r="AE284" s="261"/>
      <c r="AF284" s="227"/>
      <c r="AG284" s="227"/>
      <c r="AH284" s="273"/>
      <c r="AI284" s="273"/>
      <c r="AJ284" s="273"/>
    </row>
    <row r="285" spans="1:36" ht="15.75" customHeight="1">
      <c r="A285" s="262"/>
      <c r="B285" s="278"/>
      <c r="C285" s="278"/>
      <c r="D285" s="278"/>
      <c r="E285" s="278"/>
      <c r="F285" s="278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73"/>
      <c r="AE285" s="261"/>
      <c r="AF285" s="227"/>
      <c r="AG285" s="227"/>
      <c r="AH285" s="273"/>
      <c r="AI285" s="273"/>
      <c r="AJ285" s="273"/>
    </row>
    <row r="286" spans="1:36" ht="15.75" customHeight="1">
      <c r="A286" s="262"/>
      <c r="B286" s="278"/>
      <c r="C286" s="278"/>
      <c r="D286" s="278"/>
      <c r="E286" s="278"/>
      <c r="F286" s="278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73"/>
      <c r="AE286" s="261"/>
      <c r="AF286" s="227"/>
      <c r="AG286" s="227"/>
      <c r="AH286" s="273"/>
      <c r="AI286" s="273"/>
      <c r="AJ286" s="273"/>
    </row>
    <row r="287" spans="1:36" ht="15.75" customHeight="1">
      <c r="A287" s="262"/>
      <c r="B287" s="278"/>
      <c r="C287" s="278"/>
      <c r="D287" s="278"/>
      <c r="E287" s="278"/>
      <c r="F287" s="278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73"/>
      <c r="AE287" s="273"/>
      <c r="AF287" s="273"/>
      <c r="AG287" s="273"/>
      <c r="AH287" s="273"/>
      <c r="AI287" s="273"/>
      <c r="AJ287" s="273"/>
    </row>
    <row r="288" spans="1:36" ht="15.75" customHeight="1">
      <c r="A288" s="262"/>
      <c r="B288" s="278"/>
      <c r="C288" s="278"/>
      <c r="D288" s="278"/>
      <c r="E288" s="278"/>
      <c r="F288" s="278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73"/>
      <c r="AE288" s="273"/>
      <c r="AF288" s="273"/>
      <c r="AG288" s="273"/>
      <c r="AH288" s="273"/>
      <c r="AI288" s="273"/>
      <c r="AJ288" s="273"/>
    </row>
    <row r="289" spans="1:36" ht="15.75" customHeight="1">
      <c r="A289" s="262"/>
      <c r="B289" s="278"/>
      <c r="C289" s="278"/>
      <c r="D289" s="278"/>
      <c r="E289" s="278"/>
      <c r="F289" s="278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73"/>
      <c r="AE289" s="273"/>
      <c r="AF289" s="273"/>
      <c r="AG289" s="273"/>
      <c r="AH289" s="273"/>
      <c r="AI289" s="273"/>
      <c r="AJ289" s="273"/>
    </row>
    <row r="290" spans="1:36" ht="15.75" customHeight="1">
      <c r="A290" s="262"/>
      <c r="B290" s="278"/>
      <c r="C290" s="278"/>
      <c r="D290" s="278"/>
      <c r="E290" s="278"/>
      <c r="F290" s="278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73"/>
      <c r="AE290" s="273"/>
      <c r="AF290" s="273"/>
      <c r="AG290" s="273"/>
      <c r="AH290" s="273"/>
      <c r="AI290" s="273"/>
      <c r="AJ290" s="273"/>
    </row>
    <row r="291" spans="1:36" ht="15.75" customHeight="1">
      <c r="A291" s="262"/>
      <c r="B291" s="278"/>
      <c r="C291" s="278"/>
      <c r="D291" s="278"/>
      <c r="E291" s="278"/>
      <c r="F291" s="278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73"/>
      <c r="AE291" s="273"/>
      <c r="AF291" s="273"/>
      <c r="AG291" s="273"/>
      <c r="AH291" s="273"/>
      <c r="AI291" s="273"/>
      <c r="AJ291" s="273"/>
    </row>
    <row r="292" spans="1:36" ht="15.75" customHeight="1">
      <c r="A292" s="262"/>
      <c r="B292" s="278"/>
      <c r="C292" s="278"/>
      <c r="D292" s="278"/>
      <c r="E292" s="278"/>
      <c r="F292" s="278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73"/>
      <c r="AE292" s="273"/>
      <c r="AF292" s="273"/>
      <c r="AG292" s="273"/>
      <c r="AH292" s="273"/>
      <c r="AI292" s="273"/>
      <c r="AJ292" s="273"/>
    </row>
    <row r="293" spans="1:36" ht="15.75" customHeight="1">
      <c r="A293" s="262"/>
      <c r="B293" s="278"/>
      <c r="C293" s="278"/>
      <c r="D293" s="278"/>
      <c r="E293" s="278"/>
      <c r="F293" s="278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73"/>
      <c r="AE293" s="273"/>
      <c r="AF293" s="273"/>
      <c r="AG293" s="273"/>
      <c r="AH293" s="273"/>
      <c r="AI293" s="273"/>
      <c r="AJ293" s="273"/>
    </row>
    <row r="294" spans="1:36" ht="15.75" customHeight="1">
      <c r="A294" s="262"/>
      <c r="B294" s="278"/>
      <c r="C294" s="278"/>
      <c r="D294" s="278"/>
      <c r="E294" s="278"/>
      <c r="F294" s="278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73"/>
      <c r="AE294" s="273"/>
      <c r="AF294" s="273"/>
      <c r="AG294" s="273"/>
      <c r="AH294" s="273"/>
      <c r="AI294" s="273"/>
      <c r="AJ294" s="273"/>
    </row>
    <row r="295" spans="1:36" ht="15.75" customHeight="1">
      <c r="A295" s="262"/>
      <c r="B295" s="278"/>
      <c r="C295" s="278"/>
      <c r="D295" s="278"/>
      <c r="E295" s="278"/>
      <c r="F295" s="278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73"/>
      <c r="AE295" s="273"/>
      <c r="AF295" s="273"/>
      <c r="AG295" s="273"/>
      <c r="AH295" s="273"/>
      <c r="AI295" s="273"/>
      <c r="AJ295" s="273"/>
    </row>
    <row r="296" spans="1:36" ht="15.75" customHeight="1">
      <c r="A296" s="262"/>
      <c r="B296" s="278"/>
      <c r="C296" s="278"/>
      <c r="D296" s="278"/>
      <c r="E296" s="278"/>
      <c r="F296" s="278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73"/>
      <c r="AE296" s="273"/>
      <c r="AF296" s="273"/>
      <c r="AG296" s="273"/>
      <c r="AH296" s="273"/>
      <c r="AI296" s="273"/>
      <c r="AJ296" s="273"/>
    </row>
    <row r="297" spans="1:36" ht="15.75" customHeight="1">
      <c r="A297" s="262"/>
      <c r="B297" s="278"/>
      <c r="C297" s="278"/>
      <c r="D297" s="278"/>
      <c r="E297" s="278"/>
      <c r="F297" s="278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73"/>
      <c r="AE297" s="273"/>
      <c r="AF297" s="273"/>
      <c r="AG297" s="273"/>
      <c r="AH297" s="273"/>
      <c r="AI297" s="273"/>
      <c r="AJ297" s="273"/>
    </row>
    <row r="298" spans="1:36" ht="15.75" customHeight="1">
      <c r="A298" s="262"/>
      <c r="B298" s="278"/>
      <c r="C298" s="278"/>
      <c r="D298" s="278"/>
      <c r="E298" s="278"/>
      <c r="F298" s="278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73"/>
      <c r="AE298" s="273"/>
      <c r="AF298" s="273"/>
      <c r="AG298" s="273"/>
      <c r="AH298" s="273"/>
      <c r="AI298" s="273"/>
      <c r="AJ298" s="273"/>
    </row>
    <row r="299" spans="1:36" ht="15.75" customHeight="1">
      <c r="A299" s="221"/>
      <c r="B299" s="220"/>
      <c r="C299" s="220"/>
      <c r="D299" s="220"/>
      <c r="E299" s="220"/>
      <c r="F299" s="220"/>
      <c r="G299" s="220"/>
      <c r="H299" s="222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73"/>
      <c r="AE299" s="273"/>
      <c r="AF299" s="273"/>
      <c r="AG299" s="273"/>
      <c r="AH299" s="273"/>
      <c r="AI299" s="273"/>
      <c r="AJ299" s="273"/>
    </row>
    <row r="300" spans="1:36" ht="15.75" customHeight="1">
      <c r="A300" s="221"/>
      <c r="B300" s="220"/>
      <c r="C300" s="220"/>
      <c r="D300" s="220"/>
      <c r="E300" s="220"/>
      <c r="F300" s="220"/>
      <c r="G300" s="220"/>
      <c r="H300" s="222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73"/>
      <c r="AE300" s="273"/>
      <c r="AF300" s="273"/>
      <c r="AG300" s="273"/>
      <c r="AH300" s="273"/>
      <c r="AI300" s="273"/>
      <c r="AJ300" s="273"/>
    </row>
    <row r="301" spans="1:36" ht="15.75" customHeight="1">
      <c r="A301" s="221"/>
      <c r="B301" s="220"/>
      <c r="C301" s="220"/>
      <c r="D301" s="220"/>
      <c r="E301" s="220"/>
      <c r="F301" s="220"/>
      <c r="G301" s="220"/>
      <c r="H301" s="222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73"/>
      <c r="AE301" s="273"/>
      <c r="AF301" s="273"/>
      <c r="AG301" s="273"/>
      <c r="AH301" s="273"/>
      <c r="AI301" s="273"/>
      <c r="AJ301" s="273"/>
    </row>
    <row r="302" spans="1:36" ht="15.75" customHeight="1">
      <c r="A302" s="221"/>
      <c r="B302" s="220"/>
      <c r="C302" s="220"/>
      <c r="D302" s="220"/>
      <c r="E302" s="220"/>
      <c r="F302" s="220"/>
      <c r="G302" s="220"/>
      <c r="H302" s="222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73"/>
      <c r="AE302" s="273"/>
      <c r="AF302" s="273"/>
      <c r="AG302" s="273"/>
      <c r="AH302" s="273"/>
      <c r="AI302" s="273"/>
      <c r="AJ302" s="273"/>
    </row>
    <row r="303" spans="1:36" ht="15.75" customHeight="1">
      <c r="A303" s="221"/>
      <c r="B303" s="220"/>
      <c r="C303" s="220"/>
      <c r="D303" s="220"/>
      <c r="E303" s="220"/>
      <c r="F303" s="220"/>
      <c r="G303" s="220"/>
      <c r="H303" s="222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73"/>
      <c r="AE303" s="273"/>
      <c r="AF303" s="273"/>
      <c r="AG303" s="273"/>
      <c r="AH303" s="273"/>
      <c r="AI303" s="273"/>
      <c r="AJ303" s="273"/>
    </row>
    <row r="304" spans="1:36" ht="15.75" customHeight="1">
      <c r="A304" s="221"/>
      <c r="B304" s="220"/>
      <c r="C304" s="220"/>
      <c r="D304" s="220"/>
      <c r="E304" s="220"/>
      <c r="F304" s="220"/>
      <c r="G304" s="220"/>
      <c r="H304" s="222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73"/>
      <c r="AE304" s="273"/>
      <c r="AF304" s="273"/>
      <c r="AG304" s="273"/>
      <c r="AH304" s="273"/>
      <c r="AI304" s="273"/>
      <c r="AJ304" s="273"/>
    </row>
    <row r="305" spans="1:36" ht="15.75" customHeight="1">
      <c r="A305" s="221"/>
      <c r="B305" s="220"/>
      <c r="C305" s="220"/>
      <c r="D305" s="220"/>
      <c r="E305" s="220"/>
      <c r="F305" s="220"/>
      <c r="G305" s="220"/>
      <c r="H305" s="222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73"/>
      <c r="AE305" s="273"/>
      <c r="AF305" s="273"/>
      <c r="AG305" s="273"/>
      <c r="AH305" s="273"/>
      <c r="AI305" s="273"/>
      <c r="AJ305" s="273"/>
    </row>
    <row r="306" spans="1:36" ht="15.75" customHeight="1">
      <c r="A306" s="221"/>
      <c r="B306" s="220"/>
      <c r="C306" s="220"/>
      <c r="D306" s="220"/>
      <c r="E306" s="220"/>
      <c r="F306" s="220"/>
      <c r="G306" s="220"/>
      <c r="H306" s="222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73"/>
      <c r="AE306" s="273"/>
      <c r="AF306" s="273"/>
      <c r="AG306" s="273"/>
      <c r="AH306" s="273"/>
      <c r="AI306" s="273"/>
      <c r="AJ306" s="273"/>
    </row>
    <row r="307" spans="1:36" ht="15.75" customHeight="1">
      <c r="A307" s="221"/>
      <c r="B307" s="220"/>
      <c r="C307" s="220"/>
      <c r="D307" s="220"/>
      <c r="E307" s="220"/>
      <c r="F307" s="220"/>
      <c r="G307" s="220"/>
      <c r="H307" s="222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73"/>
      <c r="AE307" s="273"/>
      <c r="AF307" s="273"/>
      <c r="AG307" s="273"/>
      <c r="AH307" s="273"/>
      <c r="AI307" s="273"/>
      <c r="AJ307" s="273"/>
    </row>
    <row r="308" spans="1:36" ht="15.75" customHeight="1">
      <c r="A308" s="221"/>
      <c r="B308" s="220"/>
      <c r="C308" s="220"/>
      <c r="D308" s="220"/>
      <c r="E308" s="220"/>
      <c r="F308" s="220"/>
      <c r="G308" s="220"/>
      <c r="H308" s="222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73"/>
      <c r="AE308" s="273"/>
      <c r="AF308" s="273"/>
      <c r="AG308" s="273"/>
      <c r="AH308" s="273"/>
      <c r="AI308" s="273"/>
      <c r="AJ308" s="273"/>
    </row>
    <row r="309" spans="1:36" ht="15.75" customHeight="1">
      <c r="A309" s="221"/>
      <c r="B309" s="220"/>
      <c r="C309" s="220"/>
      <c r="D309" s="220"/>
      <c r="E309" s="220"/>
      <c r="F309" s="220"/>
      <c r="G309" s="220"/>
      <c r="H309" s="222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73"/>
      <c r="AE309" s="273"/>
      <c r="AF309" s="273"/>
      <c r="AG309" s="273"/>
      <c r="AH309" s="273"/>
      <c r="AI309" s="273"/>
      <c r="AJ309" s="273"/>
    </row>
    <row r="310" spans="1:36" ht="15.75" customHeight="1">
      <c r="A310" s="221"/>
      <c r="B310" s="220"/>
      <c r="C310" s="220"/>
      <c r="D310" s="220"/>
      <c r="E310" s="220"/>
      <c r="F310" s="220"/>
      <c r="G310" s="220"/>
      <c r="H310" s="222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73"/>
      <c r="AE310" s="273"/>
      <c r="AF310" s="273"/>
      <c r="AG310" s="273"/>
      <c r="AH310" s="273"/>
      <c r="AI310" s="273"/>
      <c r="AJ310" s="273"/>
    </row>
    <row r="311" spans="1:36" ht="15.75" customHeight="1">
      <c r="A311" s="221"/>
      <c r="B311" s="220"/>
      <c r="C311" s="220"/>
      <c r="D311" s="220"/>
      <c r="E311" s="220"/>
      <c r="F311" s="220"/>
      <c r="G311" s="220"/>
      <c r="H311" s="222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73"/>
      <c r="AE311" s="273"/>
      <c r="AF311" s="273"/>
      <c r="AG311" s="273"/>
      <c r="AH311" s="273"/>
      <c r="AI311" s="273"/>
      <c r="AJ311" s="273"/>
    </row>
    <row r="312" spans="1:36" ht="15.75" customHeight="1">
      <c r="A312" s="221"/>
      <c r="B312" s="220"/>
      <c r="C312" s="220"/>
      <c r="D312" s="220"/>
      <c r="E312" s="220"/>
      <c r="F312" s="220"/>
      <c r="G312" s="220"/>
      <c r="H312" s="222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73"/>
      <c r="AE312" s="273"/>
      <c r="AF312" s="273"/>
      <c r="AG312" s="273"/>
      <c r="AH312" s="273"/>
      <c r="AI312" s="273"/>
      <c r="AJ312" s="273"/>
    </row>
    <row r="313" spans="1:36" ht="15.75" customHeight="1">
      <c r="A313" s="221"/>
      <c r="B313" s="220"/>
      <c r="C313" s="220"/>
      <c r="D313" s="220"/>
      <c r="E313" s="220"/>
      <c r="F313" s="220"/>
      <c r="G313" s="220"/>
      <c r="H313" s="222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73"/>
      <c r="AE313" s="273"/>
      <c r="AF313" s="273"/>
      <c r="AG313" s="273"/>
      <c r="AH313" s="273"/>
      <c r="AI313" s="273"/>
      <c r="AJ313" s="273"/>
    </row>
    <row r="314" spans="1:36" ht="15.75" customHeight="1">
      <c r="A314" s="221"/>
      <c r="B314" s="220"/>
      <c r="C314" s="220"/>
      <c r="D314" s="220"/>
      <c r="E314" s="220"/>
      <c r="F314" s="220"/>
      <c r="G314" s="220"/>
      <c r="H314" s="222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73"/>
      <c r="AE314" s="273"/>
      <c r="AF314" s="273"/>
      <c r="AG314" s="273"/>
      <c r="AH314" s="273"/>
      <c r="AI314" s="273"/>
      <c r="AJ314" s="273"/>
    </row>
    <row r="315" spans="1:36" ht="15.75" customHeight="1">
      <c r="A315" s="221"/>
      <c r="B315" s="220"/>
      <c r="C315" s="220"/>
      <c r="D315" s="220"/>
      <c r="E315" s="220"/>
      <c r="F315" s="220"/>
      <c r="G315" s="220"/>
      <c r="H315" s="222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73"/>
      <c r="AE315" s="273"/>
      <c r="AF315" s="273"/>
      <c r="AG315" s="273"/>
      <c r="AH315" s="273"/>
      <c r="AI315" s="273"/>
      <c r="AJ315" s="273"/>
    </row>
    <row r="316" spans="1:36" ht="15.75" customHeight="1">
      <c r="A316" s="221"/>
      <c r="B316" s="220"/>
      <c r="C316" s="220"/>
      <c r="D316" s="220"/>
      <c r="E316" s="220"/>
      <c r="F316" s="220"/>
      <c r="G316" s="220"/>
      <c r="H316" s="222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73"/>
      <c r="AE316" s="273"/>
      <c r="AF316" s="273"/>
      <c r="AG316" s="273"/>
      <c r="AH316" s="273"/>
      <c r="AI316" s="273"/>
      <c r="AJ316" s="273"/>
    </row>
    <row r="317" spans="1:36" ht="15.75" customHeight="1">
      <c r="A317" s="221"/>
      <c r="B317" s="220"/>
      <c r="C317" s="220"/>
      <c r="D317" s="220"/>
      <c r="E317" s="220"/>
      <c r="F317" s="220"/>
      <c r="G317" s="220"/>
      <c r="H317" s="222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73"/>
      <c r="AE317" s="273"/>
      <c r="AF317" s="273"/>
      <c r="AG317" s="273"/>
      <c r="AH317" s="273"/>
      <c r="AI317" s="273"/>
      <c r="AJ317" s="273"/>
    </row>
    <row r="318" spans="1:36" ht="15.75" customHeight="1">
      <c r="A318" s="221"/>
      <c r="B318" s="220"/>
      <c r="C318" s="220"/>
      <c r="D318" s="220"/>
      <c r="E318" s="220"/>
      <c r="F318" s="220"/>
      <c r="G318" s="220"/>
      <c r="H318" s="222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73"/>
      <c r="AE318" s="273"/>
      <c r="AF318" s="273"/>
      <c r="AG318" s="273"/>
      <c r="AH318" s="273"/>
      <c r="AI318" s="273"/>
      <c r="AJ318" s="273"/>
    </row>
    <row r="319" spans="1:36" ht="15.75" customHeight="1">
      <c r="A319" s="221"/>
      <c r="B319" s="220"/>
      <c r="C319" s="220"/>
      <c r="D319" s="220"/>
      <c r="E319" s="220"/>
      <c r="F319" s="220"/>
      <c r="G319" s="220"/>
      <c r="H319" s="222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73"/>
      <c r="AE319" s="273"/>
      <c r="AF319" s="273"/>
      <c r="AG319" s="273"/>
      <c r="AH319" s="273"/>
      <c r="AI319" s="273"/>
      <c r="AJ319" s="273"/>
    </row>
    <row r="320" spans="1:36" ht="15.75" customHeight="1">
      <c r="A320" s="221"/>
      <c r="B320" s="220"/>
      <c r="C320" s="220"/>
      <c r="D320" s="220"/>
      <c r="E320" s="220"/>
      <c r="F320" s="220"/>
      <c r="G320" s="220"/>
      <c r="H320" s="222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73"/>
      <c r="AE320" s="273"/>
      <c r="AF320" s="273"/>
      <c r="AG320" s="273"/>
      <c r="AH320" s="273"/>
      <c r="AI320" s="273"/>
      <c r="AJ320" s="273"/>
    </row>
    <row r="321" spans="1:36" ht="15.75" customHeight="1">
      <c r="A321" s="221"/>
      <c r="B321" s="220"/>
      <c r="C321" s="220"/>
      <c r="D321" s="220"/>
      <c r="E321" s="220"/>
      <c r="F321" s="220"/>
      <c r="G321" s="220"/>
      <c r="H321" s="222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73"/>
      <c r="AE321" s="273"/>
      <c r="AF321" s="273"/>
      <c r="AG321" s="273"/>
      <c r="AH321" s="273"/>
      <c r="AI321" s="273"/>
      <c r="AJ321" s="273"/>
    </row>
    <row r="322" spans="1:36" ht="15.75" customHeight="1">
      <c r="A322" s="221"/>
      <c r="B322" s="220"/>
      <c r="C322" s="220"/>
      <c r="D322" s="220"/>
      <c r="E322" s="220"/>
      <c r="F322" s="220"/>
      <c r="G322" s="220"/>
      <c r="H322" s="222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73"/>
      <c r="AE322" s="273"/>
      <c r="AF322" s="273"/>
      <c r="AG322" s="273"/>
      <c r="AH322" s="273"/>
      <c r="AI322" s="273"/>
      <c r="AJ322" s="273"/>
    </row>
    <row r="323" spans="1:36" ht="15.75" customHeight="1">
      <c r="A323" s="221"/>
      <c r="B323" s="220"/>
      <c r="C323" s="220"/>
      <c r="D323" s="220"/>
      <c r="E323" s="220"/>
      <c r="F323" s="220"/>
      <c r="G323" s="220"/>
      <c r="H323" s="222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73"/>
      <c r="AE323" s="273"/>
      <c r="AF323" s="273"/>
      <c r="AG323" s="273"/>
      <c r="AH323" s="273"/>
      <c r="AI323" s="273"/>
      <c r="AJ323" s="273"/>
    </row>
    <row r="324" spans="1:36" ht="15.75" customHeight="1">
      <c r="A324" s="221"/>
      <c r="B324" s="220"/>
      <c r="C324" s="220"/>
      <c r="D324" s="220"/>
      <c r="E324" s="220"/>
      <c r="F324" s="220"/>
      <c r="G324" s="220"/>
      <c r="H324" s="222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73"/>
      <c r="AE324" s="273"/>
      <c r="AF324" s="273"/>
      <c r="AG324" s="273"/>
      <c r="AH324" s="273"/>
      <c r="AI324" s="273"/>
      <c r="AJ324" s="273"/>
    </row>
    <row r="325" spans="1:36" ht="15.75" customHeight="1">
      <c r="A325" s="221"/>
      <c r="B325" s="220"/>
      <c r="C325" s="220"/>
      <c r="D325" s="220"/>
      <c r="E325" s="220"/>
      <c r="F325" s="220"/>
      <c r="G325" s="220"/>
      <c r="H325" s="222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73"/>
      <c r="AE325" s="273"/>
      <c r="AF325" s="273"/>
      <c r="AG325" s="273"/>
      <c r="AH325" s="273"/>
      <c r="AI325" s="273"/>
      <c r="AJ325" s="273"/>
    </row>
    <row r="326" spans="1:36" ht="15.75" customHeight="1">
      <c r="A326" s="221"/>
      <c r="B326" s="220"/>
      <c r="C326" s="220"/>
      <c r="D326" s="220"/>
      <c r="E326" s="220"/>
      <c r="F326" s="220"/>
      <c r="G326" s="220"/>
      <c r="H326" s="222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73"/>
      <c r="AF326" s="273"/>
      <c r="AG326" s="273"/>
      <c r="AH326" s="273"/>
      <c r="AI326" s="273"/>
      <c r="AJ326" s="273"/>
    </row>
    <row r="327" spans="1:36" ht="15.75" customHeight="1">
      <c r="A327" s="221"/>
      <c r="B327" s="220"/>
      <c r="C327" s="220"/>
      <c r="D327" s="220"/>
      <c r="E327" s="220"/>
      <c r="F327" s="220"/>
      <c r="G327" s="220"/>
      <c r="H327" s="222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73"/>
      <c r="AF327" s="273"/>
      <c r="AG327" s="273"/>
      <c r="AH327" s="273"/>
      <c r="AI327" s="273"/>
      <c r="AJ327" s="273"/>
    </row>
    <row r="328" spans="1:36" ht="15.75" customHeight="1">
      <c r="A328" s="221"/>
      <c r="B328" s="220"/>
      <c r="C328" s="220"/>
      <c r="D328" s="220"/>
      <c r="E328" s="220"/>
      <c r="F328" s="220"/>
      <c r="G328" s="220"/>
      <c r="H328" s="222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73"/>
      <c r="AF328" s="273"/>
      <c r="AG328" s="273"/>
      <c r="AH328" s="273"/>
      <c r="AI328" s="273"/>
      <c r="AJ328" s="273"/>
    </row>
    <row r="329" spans="1:36" ht="15.75" customHeight="1">
      <c r="A329" s="221"/>
      <c r="B329" s="220"/>
      <c r="C329" s="220"/>
      <c r="D329" s="220"/>
      <c r="E329" s="220"/>
      <c r="F329" s="220"/>
      <c r="G329" s="220"/>
      <c r="H329" s="222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73"/>
      <c r="AF329" s="273"/>
      <c r="AG329" s="273"/>
      <c r="AH329" s="273"/>
      <c r="AI329" s="273"/>
      <c r="AJ329" s="273"/>
    </row>
    <row r="330" spans="1:36" ht="15.75" customHeight="1">
      <c r="A330" s="221"/>
      <c r="B330" s="220"/>
      <c r="C330" s="220"/>
      <c r="D330" s="220"/>
      <c r="E330" s="220"/>
      <c r="F330" s="220"/>
      <c r="G330" s="220"/>
      <c r="H330" s="222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73"/>
      <c r="AF330" s="273"/>
      <c r="AG330" s="273"/>
      <c r="AH330" s="273"/>
      <c r="AI330" s="273"/>
      <c r="AJ330" s="273"/>
    </row>
    <row r="331" spans="1:36" ht="15.75" customHeight="1">
      <c r="A331" s="221"/>
      <c r="B331" s="220"/>
      <c r="C331" s="220"/>
      <c r="D331" s="220"/>
      <c r="E331" s="220"/>
      <c r="F331" s="220"/>
      <c r="G331" s="220"/>
      <c r="H331" s="222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73"/>
      <c r="AF331" s="273"/>
      <c r="AG331" s="273"/>
      <c r="AH331" s="273"/>
      <c r="AI331" s="273"/>
      <c r="AJ331" s="273"/>
    </row>
    <row r="332" spans="1:36" ht="15.75" customHeight="1">
      <c r="A332" s="221"/>
      <c r="B332" s="220"/>
      <c r="C332" s="220"/>
      <c r="D332" s="220"/>
      <c r="E332" s="220"/>
      <c r="F332" s="220"/>
      <c r="G332" s="220"/>
      <c r="H332" s="222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73"/>
      <c r="AF332" s="273"/>
      <c r="AG332" s="273"/>
      <c r="AH332" s="273"/>
      <c r="AI332" s="273"/>
      <c r="AJ332" s="273"/>
    </row>
    <row r="333" spans="1:36" ht="15.75" customHeight="1">
      <c r="A333" s="221"/>
      <c r="B333" s="220"/>
      <c r="C333" s="220"/>
      <c r="D333" s="220"/>
      <c r="E333" s="220"/>
      <c r="F333" s="220"/>
      <c r="G333" s="220"/>
      <c r="H333" s="222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73"/>
      <c r="AF333" s="273"/>
      <c r="AG333" s="273"/>
      <c r="AH333" s="273"/>
      <c r="AI333" s="273"/>
      <c r="AJ333" s="273"/>
    </row>
    <row r="334" spans="1:36" ht="15.75" customHeight="1">
      <c r="A334" s="221"/>
      <c r="B334" s="220"/>
      <c r="C334" s="220"/>
      <c r="D334" s="220"/>
      <c r="E334" s="220"/>
      <c r="F334" s="220"/>
      <c r="G334" s="220"/>
      <c r="H334" s="222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73"/>
      <c r="AF334" s="273"/>
      <c r="AG334" s="273"/>
      <c r="AH334" s="273"/>
      <c r="AI334" s="273"/>
      <c r="AJ334" s="273"/>
    </row>
    <row r="335" spans="1:36" ht="15.75" customHeight="1">
      <c r="A335" s="221"/>
      <c r="B335" s="220"/>
      <c r="C335" s="220"/>
      <c r="D335" s="220"/>
      <c r="E335" s="220"/>
      <c r="F335" s="220"/>
      <c r="G335" s="220"/>
      <c r="H335" s="222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73"/>
      <c r="AF335" s="273"/>
      <c r="AG335" s="273"/>
      <c r="AH335" s="273"/>
      <c r="AI335" s="273"/>
      <c r="AJ335" s="273"/>
    </row>
    <row r="336" spans="1:36" ht="15.75" customHeight="1">
      <c r="A336" s="221"/>
      <c r="B336" s="220"/>
      <c r="C336" s="220"/>
      <c r="D336" s="220"/>
      <c r="E336" s="220"/>
      <c r="F336" s="220"/>
      <c r="G336" s="220"/>
      <c r="H336" s="222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73"/>
      <c r="AF336" s="273"/>
      <c r="AG336" s="273"/>
      <c r="AH336" s="273"/>
      <c r="AI336" s="273"/>
      <c r="AJ336" s="273"/>
    </row>
    <row r="337" spans="1:36" ht="15.75" customHeight="1">
      <c r="A337" s="221"/>
      <c r="B337" s="220"/>
      <c r="C337" s="220"/>
      <c r="D337" s="220"/>
      <c r="E337" s="220"/>
      <c r="F337" s="220"/>
      <c r="G337" s="220"/>
      <c r="H337" s="222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73"/>
      <c r="AF337" s="273"/>
      <c r="AG337" s="273"/>
      <c r="AH337" s="273"/>
      <c r="AI337" s="273"/>
      <c r="AJ337" s="273"/>
    </row>
    <row r="338" spans="1:36" ht="15.75" customHeight="1">
      <c r="A338" s="221"/>
      <c r="B338" s="220"/>
      <c r="C338" s="220"/>
      <c r="D338" s="220"/>
      <c r="E338" s="220"/>
      <c r="F338" s="220"/>
      <c r="G338" s="220"/>
      <c r="H338" s="222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73"/>
      <c r="AF338" s="273"/>
      <c r="AG338" s="273"/>
      <c r="AH338" s="273"/>
      <c r="AI338" s="273"/>
      <c r="AJ338" s="273"/>
    </row>
    <row r="339" spans="1:36" ht="15.75" customHeight="1">
      <c r="A339" s="221"/>
      <c r="B339" s="220"/>
      <c r="C339" s="220"/>
      <c r="D339" s="220"/>
      <c r="E339" s="220"/>
      <c r="F339" s="220"/>
      <c r="G339" s="220"/>
      <c r="H339" s="222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73"/>
      <c r="AF339" s="273"/>
      <c r="AG339" s="273"/>
      <c r="AH339" s="273"/>
      <c r="AI339" s="273"/>
      <c r="AJ339" s="273"/>
    </row>
    <row r="340" spans="1:36" ht="15.75" customHeight="1">
      <c r="A340" s="221"/>
      <c r="B340" s="220"/>
      <c r="C340" s="220"/>
      <c r="D340" s="220"/>
      <c r="E340" s="220"/>
      <c r="F340" s="220"/>
      <c r="G340" s="220"/>
      <c r="H340" s="222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73"/>
      <c r="AF340" s="273"/>
      <c r="AG340" s="273"/>
      <c r="AH340" s="273"/>
      <c r="AI340" s="273"/>
      <c r="AJ340" s="273"/>
    </row>
    <row r="341" spans="1:36" ht="15.75" customHeight="1">
      <c r="A341" s="221"/>
      <c r="B341" s="220"/>
      <c r="C341" s="220"/>
      <c r="D341" s="220"/>
      <c r="E341" s="220"/>
      <c r="F341" s="220"/>
      <c r="G341" s="220"/>
      <c r="H341" s="222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73"/>
      <c r="AF341" s="273"/>
      <c r="AG341" s="273"/>
      <c r="AH341" s="273"/>
      <c r="AI341" s="273"/>
      <c r="AJ341" s="273"/>
    </row>
    <row r="342" spans="1:36" ht="15.75" customHeight="1">
      <c r="A342" s="221"/>
      <c r="B342" s="220"/>
      <c r="C342" s="220"/>
      <c r="D342" s="220"/>
      <c r="E342" s="220"/>
      <c r="F342" s="220"/>
      <c r="G342" s="220"/>
      <c r="H342" s="222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73"/>
      <c r="AF342" s="273"/>
      <c r="AG342" s="273"/>
      <c r="AH342" s="273"/>
      <c r="AI342" s="273"/>
      <c r="AJ342" s="273"/>
    </row>
    <row r="343" spans="1:36" ht="15.75" customHeight="1">
      <c r="A343" s="221"/>
      <c r="B343" s="220"/>
      <c r="C343" s="220"/>
      <c r="D343" s="220"/>
      <c r="E343" s="220"/>
      <c r="F343" s="220"/>
      <c r="G343" s="220"/>
      <c r="H343" s="222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73"/>
      <c r="AF343" s="273"/>
      <c r="AG343" s="273"/>
      <c r="AH343" s="273"/>
      <c r="AI343" s="273"/>
      <c r="AJ343" s="273"/>
    </row>
    <row r="344" spans="1:36" ht="15.75" customHeight="1">
      <c r="A344" s="221"/>
      <c r="B344" s="220"/>
      <c r="C344" s="220"/>
      <c r="D344" s="220"/>
      <c r="E344" s="220"/>
      <c r="F344" s="220"/>
      <c r="G344" s="220"/>
      <c r="H344" s="222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220"/>
    </row>
    <row r="345" spans="1:36" ht="15.75" customHeight="1">
      <c r="A345" s="221"/>
      <c r="B345" s="220"/>
      <c r="C345" s="220"/>
      <c r="D345" s="220"/>
      <c r="E345" s="220"/>
      <c r="F345" s="220"/>
      <c r="G345" s="220"/>
      <c r="H345" s="222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220"/>
    </row>
    <row r="346" spans="1:36" ht="15.75" customHeight="1">
      <c r="A346" s="221"/>
      <c r="B346" s="220"/>
      <c r="C346" s="220"/>
      <c r="D346" s="220"/>
      <c r="E346" s="220"/>
      <c r="F346" s="220"/>
      <c r="G346" s="220"/>
      <c r="H346" s="222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220"/>
    </row>
    <row r="347" spans="1:36" ht="15.75" customHeight="1">
      <c r="A347" s="221"/>
      <c r="B347" s="220"/>
      <c r="C347" s="220"/>
      <c r="D347" s="220"/>
      <c r="E347" s="220"/>
      <c r="F347" s="220"/>
      <c r="G347" s="220"/>
      <c r="H347" s="222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220"/>
    </row>
    <row r="348" spans="1:36" ht="15.75" customHeight="1">
      <c r="A348" s="221"/>
      <c r="B348" s="220"/>
      <c r="C348" s="220"/>
      <c r="D348" s="220"/>
      <c r="E348" s="220"/>
      <c r="F348" s="220"/>
      <c r="G348" s="220"/>
      <c r="H348" s="222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220"/>
    </row>
    <row r="349" spans="1:36" ht="15.75" customHeight="1">
      <c r="A349" s="221"/>
      <c r="B349" s="220"/>
      <c r="C349" s="220"/>
      <c r="D349" s="220"/>
      <c r="E349" s="220"/>
      <c r="F349" s="220"/>
      <c r="G349" s="220"/>
      <c r="H349" s="222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220"/>
    </row>
    <row r="350" spans="1:36" ht="15.75" customHeight="1">
      <c r="A350" s="221"/>
      <c r="B350" s="220"/>
      <c r="C350" s="220"/>
      <c r="D350" s="220"/>
      <c r="E350" s="220"/>
      <c r="F350" s="220"/>
      <c r="G350" s="220"/>
      <c r="H350" s="222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220"/>
    </row>
    <row r="351" spans="1:36" ht="15.75" customHeight="1">
      <c r="A351" s="221"/>
      <c r="B351" s="220"/>
      <c r="C351" s="220"/>
      <c r="D351" s="220"/>
      <c r="E351" s="220"/>
      <c r="F351" s="220"/>
      <c r="G351" s="220"/>
      <c r="H351" s="222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220"/>
    </row>
    <row r="352" spans="1:36" ht="15.75" customHeight="1">
      <c r="A352" s="221"/>
      <c r="B352" s="220"/>
      <c r="C352" s="220"/>
      <c r="D352" s="220"/>
      <c r="E352" s="220"/>
      <c r="F352" s="220"/>
      <c r="G352" s="220"/>
      <c r="H352" s="222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220"/>
      <c r="AJ352" s="220"/>
    </row>
    <row r="353" spans="1:36" ht="15.75" customHeight="1">
      <c r="A353" s="221"/>
      <c r="B353" s="220"/>
      <c r="C353" s="220"/>
      <c r="D353" s="220"/>
      <c r="E353" s="220"/>
      <c r="F353" s="220"/>
      <c r="G353" s="220"/>
      <c r="H353" s="222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220"/>
      <c r="AJ353" s="220"/>
    </row>
    <row r="354" spans="1:36" ht="15.75" customHeight="1">
      <c r="A354" s="221"/>
      <c r="B354" s="220"/>
      <c r="C354" s="220"/>
      <c r="D354" s="220"/>
      <c r="E354" s="220"/>
      <c r="F354" s="220"/>
      <c r="G354" s="220"/>
      <c r="H354" s="222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220"/>
      <c r="AJ354" s="220"/>
    </row>
    <row r="355" spans="1:36" ht="15.75" customHeight="1">
      <c r="A355" s="221"/>
      <c r="B355" s="220"/>
      <c r="C355" s="220"/>
      <c r="D355" s="220"/>
      <c r="E355" s="220"/>
      <c r="F355" s="220"/>
      <c r="G355" s="220"/>
      <c r="H355" s="222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220"/>
      <c r="AJ355" s="220"/>
    </row>
    <row r="356" spans="1:36" ht="15.75" customHeight="1">
      <c r="A356" s="221"/>
      <c r="B356" s="220"/>
      <c r="C356" s="220"/>
      <c r="D356" s="220"/>
      <c r="E356" s="220"/>
      <c r="F356" s="220"/>
      <c r="G356" s="220"/>
      <c r="H356" s="222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220"/>
      <c r="AJ356" s="220"/>
    </row>
    <row r="357" spans="1:36" ht="15.75" customHeight="1">
      <c r="A357" s="221"/>
      <c r="B357" s="220"/>
      <c r="C357" s="220"/>
      <c r="D357" s="220"/>
      <c r="E357" s="220"/>
      <c r="F357" s="220"/>
      <c r="G357" s="220"/>
      <c r="H357" s="222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220"/>
      <c r="AJ357" s="220"/>
    </row>
    <row r="358" spans="1:36" ht="15.75" customHeight="1">
      <c r="A358" s="221"/>
      <c r="B358" s="220"/>
      <c r="C358" s="220"/>
      <c r="D358" s="220"/>
      <c r="E358" s="220"/>
      <c r="F358" s="220"/>
      <c r="G358" s="220"/>
      <c r="H358" s="222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220"/>
      <c r="AJ358" s="220"/>
    </row>
    <row r="359" spans="1:36" ht="15.75" customHeight="1">
      <c r="A359" s="221"/>
      <c r="B359" s="220"/>
      <c r="C359" s="220"/>
      <c r="D359" s="220"/>
      <c r="E359" s="220"/>
      <c r="F359" s="220"/>
      <c r="G359" s="220"/>
      <c r="H359" s="222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220"/>
      <c r="AJ359" s="220"/>
    </row>
    <row r="360" spans="1:36" ht="15.75" customHeight="1">
      <c r="A360" s="221"/>
      <c r="B360" s="220"/>
      <c r="C360" s="220"/>
      <c r="D360" s="220"/>
      <c r="E360" s="220"/>
      <c r="F360" s="220"/>
      <c r="G360" s="220"/>
      <c r="H360" s="222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220"/>
      <c r="AJ360" s="220"/>
    </row>
    <row r="361" spans="1:36" ht="15.75" customHeight="1">
      <c r="A361" s="221"/>
      <c r="B361" s="220"/>
      <c r="C361" s="220"/>
      <c r="D361" s="220"/>
      <c r="E361" s="220"/>
      <c r="F361" s="220"/>
      <c r="G361" s="220"/>
      <c r="H361" s="222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220"/>
      <c r="AJ361" s="220"/>
    </row>
    <row r="362" spans="1:36" ht="15.75" customHeight="1">
      <c r="A362" s="221"/>
      <c r="B362" s="220"/>
      <c r="C362" s="220"/>
      <c r="D362" s="220"/>
      <c r="E362" s="220"/>
      <c r="F362" s="220"/>
      <c r="G362" s="220"/>
      <c r="H362" s="222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220"/>
      <c r="AJ362" s="220"/>
    </row>
    <row r="363" spans="1:36" ht="15.75" customHeight="1">
      <c r="A363" s="221"/>
      <c r="B363" s="220"/>
      <c r="C363" s="220"/>
      <c r="D363" s="220"/>
      <c r="E363" s="220"/>
      <c r="F363" s="220"/>
      <c r="G363" s="220"/>
      <c r="H363" s="222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220"/>
      <c r="AJ363" s="220"/>
    </row>
    <row r="364" spans="1:36" ht="15.75" customHeight="1">
      <c r="A364" s="221"/>
      <c r="B364" s="220"/>
      <c r="C364" s="220"/>
      <c r="D364" s="220"/>
      <c r="E364" s="220"/>
      <c r="F364" s="220"/>
      <c r="G364" s="220"/>
      <c r="H364" s="222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220"/>
      <c r="AJ364" s="220"/>
    </row>
    <row r="365" spans="1:36" ht="15.75" customHeight="1">
      <c r="A365" s="221"/>
      <c r="B365" s="220"/>
      <c r="C365" s="220"/>
      <c r="D365" s="220"/>
      <c r="E365" s="220"/>
      <c r="F365" s="220"/>
      <c r="G365" s="220"/>
      <c r="H365" s="222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220"/>
      <c r="AJ365" s="220"/>
    </row>
    <row r="366" spans="1:36" ht="15.75" customHeight="1">
      <c r="A366" s="221"/>
      <c r="B366" s="220"/>
      <c r="C366" s="220"/>
      <c r="D366" s="220"/>
      <c r="E366" s="220"/>
      <c r="F366" s="220"/>
      <c r="G366" s="220"/>
      <c r="H366" s="222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220"/>
      <c r="AJ366" s="220"/>
    </row>
    <row r="367" spans="1:36" ht="15.75" customHeight="1">
      <c r="A367" s="221"/>
      <c r="B367" s="220"/>
      <c r="C367" s="220"/>
      <c r="D367" s="220"/>
      <c r="E367" s="220"/>
      <c r="F367" s="220"/>
      <c r="G367" s="220"/>
      <c r="H367" s="222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220"/>
      <c r="AJ367" s="220"/>
    </row>
    <row r="368" spans="1:36" ht="15.75" customHeight="1">
      <c r="A368" s="221"/>
      <c r="B368" s="220"/>
      <c r="C368" s="220"/>
      <c r="D368" s="220"/>
      <c r="E368" s="220"/>
      <c r="F368" s="220"/>
      <c r="G368" s="220"/>
      <c r="H368" s="222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220"/>
      <c r="AJ368" s="220"/>
    </row>
    <row r="369" spans="1:36" ht="15.75" customHeight="1">
      <c r="A369" s="221"/>
      <c r="B369" s="220"/>
      <c r="C369" s="220"/>
      <c r="D369" s="220"/>
      <c r="E369" s="220"/>
      <c r="F369" s="220"/>
      <c r="G369" s="220"/>
      <c r="H369" s="222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220"/>
      <c r="AJ369" s="220"/>
    </row>
    <row r="370" spans="1:36" ht="15.75" customHeight="1">
      <c r="A370" s="221"/>
      <c r="B370" s="220"/>
      <c r="C370" s="220"/>
      <c r="D370" s="220"/>
      <c r="E370" s="220"/>
      <c r="F370" s="220"/>
      <c r="G370" s="220"/>
      <c r="H370" s="222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220"/>
      <c r="AJ370" s="220"/>
    </row>
    <row r="371" spans="1:36" ht="15.75" customHeight="1">
      <c r="A371" s="221"/>
      <c r="B371" s="220"/>
      <c r="C371" s="220"/>
      <c r="D371" s="220"/>
      <c r="E371" s="220"/>
      <c r="F371" s="220"/>
      <c r="G371" s="220"/>
      <c r="H371" s="222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220"/>
      <c r="AJ371" s="220"/>
    </row>
    <row r="372" spans="1:36" ht="15.75" customHeight="1">
      <c r="A372" s="221"/>
      <c r="B372" s="220"/>
      <c r="C372" s="220"/>
      <c r="D372" s="220"/>
      <c r="E372" s="220"/>
      <c r="F372" s="220"/>
      <c r="G372" s="220"/>
      <c r="H372" s="222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220"/>
      <c r="AJ372" s="220"/>
    </row>
    <row r="373" spans="1:36" ht="15.75" customHeight="1">
      <c r="A373" s="221"/>
      <c r="B373" s="220"/>
      <c r="C373" s="220"/>
      <c r="D373" s="220"/>
      <c r="E373" s="220"/>
      <c r="F373" s="220"/>
      <c r="G373" s="220"/>
      <c r="H373" s="222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220"/>
      <c r="AJ373" s="220"/>
    </row>
    <row r="374" spans="1:36" ht="15.75" customHeight="1">
      <c r="A374" s="221"/>
      <c r="B374" s="220"/>
      <c r="C374" s="220"/>
      <c r="D374" s="220"/>
      <c r="E374" s="220"/>
      <c r="F374" s="220"/>
      <c r="G374" s="220"/>
      <c r="H374" s="222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220"/>
      <c r="AJ374" s="220"/>
    </row>
    <row r="375" spans="1:36" ht="15.75" customHeight="1">
      <c r="A375" s="221"/>
      <c r="B375" s="220"/>
      <c r="C375" s="220"/>
      <c r="D375" s="220"/>
      <c r="E375" s="220"/>
      <c r="F375" s="220"/>
      <c r="G375" s="220"/>
      <c r="H375" s="222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220"/>
      <c r="AJ375" s="220"/>
    </row>
    <row r="376" spans="1:36" ht="15.75" customHeight="1">
      <c r="A376" s="221"/>
      <c r="B376" s="220"/>
      <c r="C376" s="220"/>
      <c r="D376" s="220"/>
      <c r="E376" s="220"/>
      <c r="F376" s="220"/>
      <c r="G376" s="220"/>
      <c r="H376" s="222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220"/>
      <c r="AJ376" s="220"/>
    </row>
    <row r="377" spans="1:36" ht="15.75" customHeight="1">
      <c r="A377" s="221"/>
      <c r="B377" s="220"/>
      <c r="C377" s="220"/>
      <c r="D377" s="220"/>
      <c r="E377" s="220"/>
      <c r="F377" s="220"/>
      <c r="G377" s="220"/>
      <c r="H377" s="222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220"/>
      <c r="AJ377" s="220"/>
    </row>
    <row r="378" spans="1:36" ht="15.75" customHeight="1">
      <c r="A378" s="221"/>
      <c r="B378" s="220"/>
      <c r="C378" s="220"/>
      <c r="D378" s="220"/>
      <c r="E378" s="220"/>
      <c r="F378" s="220"/>
      <c r="G378" s="220"/>
      <c r="H378" s="222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220"/>
      <c r="AJ378" s="220"/>
    </row>
    <row r="379" spans="1:36" ht="15.75" customHeight="1">
      <c r="A379" s="221"/>
      <c r="B379" s="220"/>
      <c r="C379" s="220"/>
      <c r="D379" s="220"/>
      <c r="E379" s="220"/>
      <c r="F379" s="220"/>
      <c r="G379" s="220"/>
      <c r="H379" s="222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220"/>
      <c r="AJ379" s="220"/>
    </row>
    <row r="380" spans="1:36" ht="15.75" customHeight="1">
      <c r="A380" s="221"/>
      <c r="B380" s="220"/>
      <c r="C380" s="220"/>
      <c r="D380" s="220"/>
      <c r="E380" s="220"/>
      <c r="F380" s="220"/>
      <c r="G380" s="220"/>
      <c r="H380" s="222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220"/>
      <c r="AJ380" s="220"/>
    </row>
    <row r="381" spans="1:36" ht="15.75" customHeight="1">
      <c r="A381" s="221"/>
      <c r="B381" s="220"/>
      <c r="C381" s="220"/>
      <c r="D381" s="220"/>
      <c r="E381" s="220"/>
      <c r="F381" s="220"/>
      <c r="G381" s="220"/>
      <c r="H381" s="222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220"/>
      <c r="AJ381" s="220"/>
    </row>
    <row r="382" spans="1:36" ht="15.75" customHeight="1">
      <c r="A382" s="221"/>
      <c r="B382" s="220"/>
      <c r="C382" s="220"/>
      <c r="D382" s="220"/>
      <c r="E382" s="220"/>
      <c r="F382" s="220"/>
      <c r="G382" s="220"/>
      <c r="H382" s="222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220"/>
      <c r="AJ382" s="220"/>
    </row>
    <row r="383" spans="1:36" ht="15.75" customHeight="1">
      <c r="A383" s="221"/>
      <c r="B383" s="220"/>
      <c r="C383" s="220"/>
      <c r="D383" s="220"/>
      <c r="E383" s="220"/>
      <c r="F383" s="220"/>
      <c r="G383" s="220"/>
      <c r="H383" s="222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220"/>
      <c r="AJ383" s="220"/>
    </row>
    <row r="384" spans="1:36" ht="15.75" customHeight="1">
      <c r="A384" s="221"/>
      <c r="B384" s="220"/>
      <c r="C384" s="220"/>
      <c r="D384" s="220"/>
      <c r="E384" s="220"/>
      <c r="F384" s="220"/>
      <c r="G384" s="220"/>
      <c r="H384" s="222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220"/>
      <c r="AJ384" s="220"/>
    </row>
    <row r="385" spans="1:36" ht="15.75" customHeight="1">
      <c r="A385" s="221"/>
      <c r="B385" s="220"/>
      <c r="C385" s="220"/>
      <c r="D385" s="220"/>
      <c r="E385" s="220"/>
      <c r="F385" s="220"/>
      <c r="G385" s="220"/>
      <c r="H385" s="222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220"/>
      <c r="AJ385" s="220"/>
    </row>
    <row r="386" spans="1:36" ht="15.75" customHeight="1">
      <c r="A386" s="221"/>
      <c r="B386" s="220"/>
      <c r="C386" s="220"/>
      <c r="D386" s="220"/>
      <c r="E386" s="220"/>
      <c r="F386" s="220"/>
      <c r="G386" s="220"/>
      <c r="H386" s="222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220"/>
      <c r="AJ386" s="220"/>
    </row>
    <row r="387" spans="1:36" ht="15.75" customHeight="1">
      <c r="A387" s="221"/>
      <c r="B387" s="220"/>
      <c r="C387" s="220"/>
      <c r="D387" s="220"/>
      <c r="E387" s="220"/>
      <c r="F387" s="220"/>
      <c r="G387" s="220"/>
      <c r="H387" s="222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220"/>
      <c r="AJ387" s="220"/>
    </row>
    <row r="388" spans="1:36" ht="15.75" customHeight="1">
      <c r="A388" s="221"/>
      <c r="B388" s="220"/>
      <c r="C388" s="220"/>
      <c r="D388" s="220"/>
      <c r="E388" s="220"/>
      <c r="F388" s="220"/>
      <c r="G388" s="220"/>
      <c r="H388" s="222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220"/>
      <c r="AJ388" s="220"/>
    </row>
    <row r="389" spans="1:36" ht="15.75" customHeight="1">
      <c r="A389" s="221"/>
      <c r="B389" s="220"/>
      <c r="C389" s="220"/>
      <c r="D389" s="220"/>
      <c r="E389" s="220"/>
      <c r="F389" s="220"/>
      <c r="G389" s="220"/>
      <c r="H389" s="222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220"/>
      <c r="AJ389" s="220"/>
    </row>
    <row r="390" spans="1:36" ht="15.75" customHeight="1">
      <c r="A390" s="221"/>
      <c r="B390" s="220"/>
      <c r="C390" s="220"/>
      <c r="D390" s="220"/>
      <c r="E390" s="220"/>
      <c r="F390" s="220"/>
      <c r="G390" s="220"/>
      <c r="H390" s="222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220"/>
      <c r="AJ390" s="220"/>
    </row>
    <row r="391" spans="1:36" ht="15.75" customHeight="1">
      <c r="A391" s="221"/>
      <c r="B391" s="220"/>
      <c r="C391" s="220"/>
      <c r="D391" s="220"/>
      <c r="E391" s="220"/>
      <c r="F391" s="220"/>
      <c r="G391" s="220"/>
      <c r="H391" s="222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220"/>
      <c r="AJ391" s="220"/>
    </row>
    <row r="392" spans="1:36" ht="15.75" customHeight="1">
      <c r="A392" s="221"/>
      <c r="B392" s="220"/>
      <c r="C392" s="220"/>
      <c r="D392" s="220"/>
      <c r="E392" s="220"/>
      <c r="F392" s="220"/>
      <c r="G392" s="220"/>
      <c r="H392" s="222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220"/>
      <c r="AJ392" s="220"/>
    </row>
    <row r="393" spans="1:36" ht="15.75" customHeight="1">
      <c r="A393" s="221"/>
      <c r="B393" s="220"/>
      <c r="C393" s="220"/>
      <c r="D393" s="220"/>
      <c r="E393" s="220"/>
      <c r="F393" s="220"/>
      <c r="G393" s="220"/>
      <c r="H393" s="222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220"/>
      <c r="AJ393" s="220"/>
    </row>
    <row r="394" spans="1:36" ht="15.75" customHeight="1">
      <c r="A394" s="221"/>
      <c r="B394" s="220"/>
      <c r="C394" s="220"/>
      <c r="D394" s="220"/>
      <c r="E394" s="220"/>
      <c r="F394" s="220"/>
      <c r="G394" s="220"/>
      <c r="H394" s="222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220"/>
      <c r="AJ394" s="220"/>
    </row>
    <row r="395" spans="1:36" ht="15.75" customHeight="1">
      <c r="A395" s="221"/>
      <c r="B395" s="220"/>
      <c r="C395" s="220"/>
      <c r="D395" s="220"/>
      <c r="E395" s="220"/>
      <c r="F395" s="220"/>
      <c r="G395" s="220"/>
      <c r="H395" s="222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220"/>
      <c r="AJ395" s="220"/>
    </row>
    <row r="396" spans="1:36" ht="15.75" customHeight="1">
      <c r="A396" s="221"/>
      <c r="B396" s="220"/>
      <c r="C396" s="220"/>
      <c r="D396" s="220"/>
      <c r="E396" s="220"/>
      <c r="F396" s="220"/>
      <c r="G396" s="220"/>
      <c r="H396" s="222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220"/>
      <c r="AJ396" s="220"/>
    </row>
    <row r="397" spans="1:36" ht="15.75" customHeight="1">
      <c r="A397" s="221"/>
      <c r="B397" s="220"/>
      <c r="C397" s="220"/>
      <c r="D397" s="220"/>
      <c r="E397" s="220"/>
      <c r="F397" s="220"/>
      <c r="G397" s="220"/>
      <c r="H397" s="222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220"/>
      <c r="AJ397" s="220"/>
    </row>
    <row r="398" spans="1:36" ht="15.75" customHeight="1">
      <c r="A398" s="221"/>
      <c r="B398" s="220"/>
      <c r="C398" s="220"/>
      <c r="D398" s="220"/>
      <c r="E398" s="220"/>
      <c r="F398" s="220"/>
      <c r="G398" s="220"/>
      <c r="H398" s="222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220"/>
      <c r="AJ398" s="220"/>
    </row>
    <row r="399" spans="1:36" ht="15.75" customHeight="1">
      <c r="A399" s="221"/>
      <c r="B399" s="220"/>
      <c r="C399" s="220"/>
      <c r="D399" s="220"/>
      <c r="E399" s="220"/>
      <c r="F399" s="220"/>
      <c r="G399" s="220"/>
      <c r="H399" s="222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220"/>
      <c r="AJ399" s="220"/>
    </row>
    <row r="400" spans="1:36" ht="15.75" customHeight="1">
      <c r="A400" s="221"/>
      <c r="B400" s="220"/>
      <c r="C400" s="220"/>
      <c r="D400" s="220"/>
      <c r="E400" s="220"/>
      <c r="F400" s="220"/>
      <c r="G400" s="220"/>
      <c r="H400" s="222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220"/>
      <c r="AJ400" s="220"/>
    </row>
    <row r="401" spans="1:36" ht="15.75" customHeight="1">
      <c r="A401" s="221"/>
      <c r="B401" s="220"/>
      <c r="C401" s="220"/>
      <c r="D401" s="220"/>
      <c r="E401" s="220"/>
      <c r="F401" s="220"/>
      <c r="G401" s="220"/>
      <c r="H401" s="222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220"/>
      <c r="AJ401" s="220"/>
    </row>
    <row r="402" spans="1:36" ht="15.75" customHeight="1">
      <c r="A402" s="221"/>
      <c r="B402" s="220"/>
      <c r="C402" s="220"/>
      <c r="D402" s="220"/>
      <c r="E402" s="220"/>
      <c r="F402" s="220"/>
      <c r="G402" s="220"/>
      <c r="H402" s="222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220"/>
      <c r="AJ402" s="220"/>
    </row>
    <row r="403" spans="1:36" ht="15.75" customHeight="1">
      <c r="A403" s="221"/>
      <c r="B403" s="220"/>
      <c r="C403" s="220"/>
      <c r="D403" s="220"/>
      <c r="E403" s="220"/>
      <c r="F403" s="220"/>
      <c r="G403" s="220"/>
      <c r="H403" s="222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220"/>
      <c r="AJ403" s="220"/>
    </row>
    <row r="404" spans="1:36" ht="15.75" customHeight="1">
      <c r="A404" s="221"/>
      <c r="B404" s="220"/>
      <c r="C404" s="220"/>
      <c r="D404" s="220"/>
      <c r="E404" s="220"/>
      <c r="F404" s="220"/>
      <c r="G404" s="220"/>
      <c r="H404" s="222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220"/>
      <c r="AJ404" s="220"/>
    </row>
    <row r="405" spans="1:36" ht="15.75" customHeight="1">
      <c r="A405" s="221"/>
      <c r="B405" s="220"/>
      <c r="C405" s="220"/>
      <c r="D405" s="220"/>
      <c r="E405" s="220"/>
      <c r="F405" s="220"/>
      <c r="G405" s="220"/>
      <c r="H405" s="222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220"/>
      <c r="AJ405" s="220"/>
    </row>
    <row r="406" spans="1:36" ht="15.75" customHeight="1">
      <c r="A406" s="221"/>
      <c r="B406" s="220"/>
      <c r="C406" s="220"/>
      <c r="D406" s="220"/>
      <c r="E406" s="220"/>
      <c r="F406" s="220"/>
      <c r="G406" s="220"/>
      <c r="H406" s="222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220"/>
      <c r="AJ406" s="220"/>
    </row>
    <row r="407" spans="1:36" ht="15.75" customHeight="1">
      <c r="A407" s="221"/>
      <c r="B407" s="220"/>
      <c r="C407" s="220"/>
      <c r="D407" s="220"/>
      <c r="E407" s="220"/>
      <c r="F407" s="220"/>
      <c r="G407" s="220"/>
      <c r="H407" s="222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220"/>
      <c r="AJ407" s="220"/>
    </row>
    <row r="408" spans="1:36" ht="15.75" customHeight="1">
      <c r="A408" s="221"/>
      <c r="B408" s="220"/>
      <c r="C408" s="220"/>
      <c r="D408" s="220"/>
      <c r="E408" s="220"/>
      <c r="F408" s="220"/>
      <c r="G408" s="220"/>
      <c r="H408" s="222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220"/>
      <c r="AJ408" s="220"/>
    </row>
    <row r="409" spans="1:36" ht="15.75" customHeight="1">
      <c r="A409" s="221"/>
      <c r="B409" s="220"/>
      <c r="C409" s="220"/>
      <c r="D409" s="220"/>
      <c r="E409" s="220"/>
      <c r="F409" s="220"/>
      <c r="G409" s="220"/>
      <c r="H409" s="222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220"/>
      <c r="AJ409" s="220"/>
    </row>
    <row r="410" spans="1:36" ht="15.75" customHeight="1">
      <c r="A410" s="221"/>
      <c r="B410" s="220"/>
      <c r="C410" s="220"/>
      <c r="D410" s="220"/>
      <c r="E410" s="220"/>
      <c r="F410" s="220"/>
      <c r="G410" s="220"/>
      <c r="H410" s="222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220"/>
      <c r="AJ410" s="220"/>
    </row>
    <row r="411" spans="1:36" ht="15.75" customHeight="1">
      <c r="A411" s="221"/>
      <c r="B411" s="220"/>
      <c r="C411" s="220"/>
      <c r="D411" s="220"/>
      <c r="E411" s="220"/>
      <c r="F411" s="220"/>
      <c r="G411" s="220"/>
      <c r="H411" s="222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220"/>
      <c r="AJ411" s="220"/>
    </row>
    <row r="412" spans="1:36" ht="15.75" customHeight="1">
      <c r="A412" s="221"/>
      <c r="B412" s="220"/>
      <c r="C412" s="220"/>
      <c r="D412" s="220"/>
      <c r="E412" s="220"/>
      <c r="F412" s="220"/>
      <c r="G412" s="220"/>
      <c r="H412" s="222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220"/>
      <c r="AJ412" s="220"/>
    </row>
    <row r="413" spans="1:36" ht="15.75" customHeight="1">
      <c r="A413" s="221"/>
      <c r="B413" s="220"/>
      <c r="C413" s="220"/>
      <c r="D413" s="220"/>
      <c r="E413" s="220"/>
      <c r="F413" s="220"/>
      <c r="G413" s="220"/>
      <c r="H413" s="222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220"/>
      <c r="AJ413" s="220"/>
    </row>
    <row r="414" spans="1:36" ht="15.75" customHeight="1">
      <c r="A414" s="221"/>
      <c r="B414" s="220"/>
      <c r="C414" s="220"/>
      <c r="D414" s="220"/>
      <c r="E414" s="220"/>
      <c r="F414" s="220"/>
      <c r="G414" s="220"/>
      <c r="H414" s="222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</row>
    <row r="415" spans="1:36" ht="15.75" customHeight="1">
      <c r="A415" s="221"/>
      <c r="B415" s="220"/>
      <c r="C415" s="220"/>
      <c r="D415" s="220"/>
      <c r="E415" s="220"/>
      <c r="F415" s="220"/>
      <c r="G415" s="220"/>
      <c r="H415" s="222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</row>
    <row r="416" spans="1:36" ht="15.75" customHeight="1">
      <c r="A416" s="221"/>
      <c r="B416" s="220"/>
      <c r="C416" s="220"/>
      <c r="D416" s="220"/>
      <c r="E416" s="220"/>
      <c r="F416" s="220"/>
      <c r="G416" s="220"/>
      <c r="H416" s="222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</row>
    <row r="417" spans="1:36" ht="15.75" customHeight="1">
      <c r="A417" s="221"/>
      <c r="B417" s="220"/>
      <c r="C417" s="220"/>
      <c r="D417" s="220"/>
      <c r="E417" s="220"/>
      <c r="F417" s="220"/>
      <c r="G417" s="220"/>
      <c r="H417" s="222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</row>
    <row r="418" spans="1:36" ht="15.75" customHeight="1">
      <c r="A418" s="221"/>
      <c r="B418" s="220"/>
      <c r="C418" s="220"/>
      <c r="D418" s="220"/>
      <c r="E418" s="220"/>
      <c r="F418" s="220"/>
      <c r="G418" s="220"/>
      <c r="H418" s="222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</row>
    <row r="419" spans="1:36" ht="15.75" customHeight="1">
      <c r="A419" s="221"/>
      <c r="B419" s="220"/>
      <c r="C419" s="220"/>
      <c r="D419" s="220"/>
      <c r="E419" s="220"/>
      <c r="F419" s="220"/>
      <c r="G419" s="220"/>
      <c r="H419" s="222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</row>
    <row r="420" spans="1:36" ht="15.75" customHeight="1">
      <c r="A420" s="221"/>
      <c r="B420" s="220"/>
      <c r="C420" s="220"/>
      <c r="D420" s="220"/>
      <c r="E420" s="220"/>
      <c r="F420" s="220"/>
      <c r="G420" s="220"/>
      <c r="H420" s="222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</row>
    <row r="421" spans="1:36" ht="15.75" customHeight="1">
      <c r="A421" s="221"/>
      <c r="B421" s="220"/>
      <c r="C421" s="220"/>
      <c r="D421" s="220"/>
      <c r="E421" s="220"/>
      <c r="F421" s="220"/>
      <c r="G421" s="220"/>
      <c r="H421" s="222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</row>
    <row r="422" spans="1:36" ht="15.75" customHeight="1">
      <c r="A422" s="221"/>
      <c r="B422" s="220"/>
      <c r="C422" s="220"/>
      <c r="D422" s="220"/>
      <c r="E422" s="220"/>
      <c r="F422" s="220"/>
      <c r="G422" s="220"/>
      <c r="H422" s="222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</row>
    <row r="423" spans="1:36" ht="15.75" customHeight="1">
      <c r="A423" s="221"/>
      <c r="B423" s="220"/>
      <c r="C423" s="220"/>
      <c r="D423" s="220"/>
      <c r="E423" s="220"/>
      <c r="F423" s="220"/>
      <c r="G423" s="220"/>
      <c r="H423" s="222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</row>
    <row r="424" spans="1:36" ht="15.75" customHeight="1">
      <c r="A424" s="221"/>
      <c r="B424" s="220"/>
      <c r="C424" s="220"/>
      <c r="D424" s="220"/>
      <c r="E424" s="220"/>
      <c r="F424" s="220"/>
      <c r="G424" s="220"/>
      <c r="H424" s="222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</row>
    <row r="425" spans="1:36" ht="15.75" customHeight="1">
      <c r="A425" s="221"/>
      <c r="B425" s="220"/>
      <c r="C425" s="220"/>
      <c r="D425" s="220"/>
      <c r="E425" s="220"/>
      <c r="F425" s="220"/>
      <c r="G425" s="220"/>
      <c r="H425" s="222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</row>
    <row r="426" spans="1:36" ht="15.75" customHeight="1">
      <c r="A426" s="221"/>
      <c r="B426" s="220"/>
      <c r="C426" s="220"/>
      <c r="D426" s="220"/>
      <c r="E426" s="220"/>
      <c r="F426" s="220"/>
      <c r="G426" s="220"/>
      <c r="H426" s="222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</row>
    <row r="427" spans="1:36" ht="15.75" customHeight="1">
      <c r="A427" s="221"/>
      <c r="B427" s="220"/>
      <c r="C427" s="220"/>
      <c r="D427" s="220"/>
      <c r="E427" s="220"/>
      <c r="F427" s="220"/>
      <c r="G427" s="220"/>
      <c r="H427" s="222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</row>
    <row r="428" spans="1:36" ht="15.75" customHeight="1">
      <c r="A428" s="221"/>
      <c r="B428" s="220"/>
      <c r="C428" s="220"/>
      <c r="D428" s="220"/>
      <c r="E428" s="220"/>
      <c r="F428" s="220"/>
      <c r="G428" s="220"/>
      <c r="H428" s="222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</row>
    <row r="429" spans="1:36" ht="15.75" customHeight="1">
      <c r="A429" s="221"/>
      <c r="B429" s="220"/>
      <c r="C429" s="220"/>
      <c r="D429" s="220"/>
      <c r="E429" s="220"/>
      <c r="F429" s="220"/>
      <c r="G429" s="220"/>
      <c r="H429" s="222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</row>
    <row r="430" spans="1:36" ht="15.75" customHeight="1">
      <c r="A430" s="221"/>
      <c r="B430" s="220"/>
      <c r="C430" s="220"/>
      <c r="D430" s="220"/>
      <c r="E430" s="220"/>
      <c r="F430" s="220"/>
      <c r="G430" s="220"/>
      <c r="H430" s="222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</row>
    <row r="431" spans="1:36" ht="15.75" customHeight="1">
      <c r="A431" s="221"/>
      <c r="B431" s="220"/>
      <c r="C431" s="220"/>
      <c r="D431" s="220"/>
      <c r="E431" s="220"/>
      <c r="F431" s="220"/>
      <c r="G431" s="220"/>
      <c r="H431" s="222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</row>
    <row r="432" spans="1:36" ht="15.75" customHeight="1">
      <c r="A432" s="221"/>
      <c r="B432" s="220"/>
      <c r="C432" s="220"/>
      <c r="D432" s="220"/>
      <c r="E432" s="220"/>
      <c r="F432" s="220"/>
      <c r="G432" s="220"/>
      <c r="H432" s="222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</row>
    <row r="433" spans="1:36" ht="15.75" customHeight="1">
      <c r="A433" s="221"/>
      <c r="B433" s="220"/>
      <c r="C433" s="220"/>
      <c r="D433" s="220"/>
      <c r="E433" s="220"/>
      <c r="F433" s="220"/>
      <c r="G433" s="220"/>
      <c r="H433" s="222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</row>
    <row r="434" spans="1:36" ht="15.75" customHeight="1">
      <c r="A434" s="221"/>
      <c r="B434" s="220"/>
      <c r="C434" s="220"/>
      <c r="D434" s="220"/>
      <c r="E434" s="220"/>
      <c r="F434" s="220"/>
      <c r="G434" s="220"/>
      <c r="H434" s="222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</row>
    <row r="435" spans="1:36" ht="15.75" customHeight="1">
      <c r="A435" s="221"/>
      <c r="B435" s="220"/>
      <c r="C435" s="220"/>
      <c r="D435" s="220"/>
      <c r="E435" s="220"/>
      <c r="F435" s="220"/>
      <c r="G435" s="220"/>
      <c r="H435" s="222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</row>
    <row r="436" spans="1:36" ht="15.75" customHeight="1">
      <c r="A436" s="221"/>
      <c r="B436" s="220"/>
      <c r="C436" s="220"/>
      <c r="D436" s="220"/>
      <c r="E436" s="220"/>
      <c r="F436" s="220"/>
      <c r="G436" s="220"/>
      <c r="H436" s="222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</row>
    <row r="437" spans="1:36" ht="15.75" customHeight="1">
      <c r="A437" s="221"/>
      <c r="B437" s="220"/>
      <c r="C437" s="220"/>
      <c r="D437" s="220"/>
      <c r="E437" s="220"/>
      <c r="F437" s="220"/>
      <c r="G437" s="220"/>
      <c r="H437" s="222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</row>
    <row r="438" spans="1:36" ht="15.75" customHeight="1">
      <c r="A438" s="221"/>
      <c r="B438" s="220"/>
      <c r="C438" s="220"/>
      <c r="D438" s="220"/>
      <c r="E438" s="220"/>
      <c r="F438" s="220"/>
      <c r="G438" s="220"/>
      <c r="H438" s="222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</row>
    <row r="439" spans="1:36" ht="15.75" customHeight="1">
      <c r="A439" s="221"/>
      <c r="B439" s="220"/>
      <c r="C439" s="220"/>
      <c r="D439" s="220"/>
      <c r="E439" s="220"/>
      <c r="F439" s="220"/>
      <c r="G439" s="220"/>
      <c r="H439" s="222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</row>
    <row r="440" spans="1:36" ht="15.75" customHeight="1">
      <c r="A440" s="221"/>
      <c r="B440" s="220"/>
      <c r="C440" s="220"/>
      <c r="D440" s="220"/>
      <c r="E440" s="220"/>
      <c r="F440" s="220"/>
      <c r="G440" s="220"/>
      <c r="H440" s="222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</row>
    <row r="441" spans="1:36" ht="15.75" customHeight="1">
      <c r="A441" s="221"/>
      <c r="B441" s="220"/>
      <c r="C441" s="220"/>
      <c r="D441" s="220"/>
      <c r="E441" s="220"/>
      <c r="F441" s="220"/>
      <c r="G441" s="220"/>
      <c r="H441" s="222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</row>
    <row r="442" spans="1:36" ht="15.75" customHeight="1">
      <c r="A442" s="221"/>
      <c r="B442" s="220"/>
      <c r="C442" s="220"/>
      <c r="D442" s="220"/>
      <c r="E442" s="220"/>
      <c r="F442" s="220"/>
      <c r="G442" s="220"/>
      <c r="H442" s="222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</row>
    <row r="443" spans="1:36" ht="15.75" customHeight="1">
      <c r="A443" s="221"/>
      <c r="B443" s="220"/>
      <c r="C443" s="220"/>
      <c r="D443" s="220"/>
      <c r="E443" s="220"/>
      <c r="F443" s="220"/>
      <c r="G443" s="220"/>
      <c r="H443" s="222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</row>
    <row r="444" spans="1:36" ht="15.75" customHeight="1">
      <c r="A444" s="221"/>
      <c r="B444" s="220"/>
      <c r="C444" s="220"/>
      <c r="D444" s="220"/>
      <c r="E444" s="220"/>
      <c r="F444" s="220"/>
      <c r="G444" s="220"/>
      <c r="H444" s="222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</row>
    <row r="445" spans="1:36" ht="15.75" customHeight="1">
      <c r="A445" s="221"/>
      <c r="B445" s="220"/>
      <c r="C445" s="220"/>
      <c r="D445" s="220"/>
      <c r="E445" s="220"/>
      <c r="F445" s="220"/>
      <c r="G445" s="220"/>
      <c r="H445" s="222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</row>
    <row r="446" spans="1:36" ht="15.75" customHeight="1">
      <c r="A446" s="221"/>
      <c r="B446" s="220"/>
      <c r="C446" s="220"/>
      <c r="D446" s="220"/>
      <c r="E446" s="220"/>
      <c r="F446" s="220"/>
      <c r="G446" s="220"/>
      <c r="H446" s="222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</row>
    <row r="447" spans="1:36" ht="15.75" customHeight="1">
      <c r="A447" s="221"/>
      <c r="B447" s="220"/>
      <c r="C447" s="220"/>
      <c r="D447" s="220"/>
      <c r="E447" s="220"/>
      <c r="F447" s="220"/>
      <c r="G447" s="220"/>
      <c r="H447" s="222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</row>
    <row r="448" spans="1:36" ht="15.75" customHeight="1">
      <c r="A448" s="221"/>
      <c r="B448" s="220"/>
      <c r="C448" s="220"/>
      <c r="D448" s="220"/>
      <c r="E448" s="220"/>
      <c r="F448" s="220"/>
      <c r="G448" s="220"/>
      <c r="H448" s="222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</row>
    <row r="449" spans="1:36" ht="15.75" customHeight="1">
      <c r="A449" s="221"/>
      <c r="B449" s="220"/>
      <c r="C449" s="220"/>
      <c r="D449" s="220"/>
      <c r="E449" s="220"/>
      <c r="F449" s="220"/>
      <c r="G449" s="220"/>
      <c r="H449" s="222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</row>
    <row r="450" spans="1:36" ht="15.75" customHeight="1">
      <c r="A450" s="221"/>
      <c r="B450" s="220"/>
      <c r="C450" s="220"/>
      <c r="D450" s="220"/>
      <c r="E450" s="220"/>
      <c r="F450" s="220"/>
      <c r="G450" s="220"/>
      <c r="H450" s="222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</row>
    <row r="451" spans="1:36" ht="15.75" customHeight="1">
      <c r="A451" s="221"/>
      <c r="B451" s="220"/>
      <c r="C451" s="220"/>
      <c r="D451" s="220"/>
      <c r="E451" s="220"/>
      <c r="F451" s="220"/>
      <c r="G451" s="220"/>
      <c r="H451" s="222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</row>
    <row r="452" spans="1:36" ht="15.75" customHeight="1">
      <c r="A452" s="221"/>
      <c r="B452" s="220"/>
      <c r="C452" s="220"/>
      <c r="D452" s="220"/>
      <c r="E452" s="220"/>
      <c r="F452" s="220"/>
      <c r="G452" s="220"/>
      <c r="H452" s="222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</row>
    <row r="453" spans="1:36" ht="15.75" customHeight="1">
      <c r="A453" s="221"/>
      <c r="B453" s="220"/>
      <c r="C453" s="220"/>
      <c r="D453" s="220"/>
      <c r="E453" s="220"/>
      <c r="F453" s="220"/>
      <c r="G453" s="220"/>
      <c r="H453" s="222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</row>
    <row r="454" spans="1:36" ht="15.75" customHeight="1">
      <c r="A454" s="221"/>
      <c r="B454" s="220"/>
      <c r="C454" s="220"/>
      <c r="D454" s="220"/>
      <c r="E454" s="220"/>
      <c r="F454" s="220"/>
      <c r="G454" s="220"/>
      <c r="H454" s="222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</row>
    <row r="455" spans="1:36" ht="15.75" customHeight="1">
      <c r="A455" s="221"/>
      <c r="B455" s="220"/>
      <c r="C455" s="220"/>
      <c r="D455" s="220"/>
      <c r="E455" s="220"/>
      <c r="F455" s="220"/>
      <c r="G455" s="220"/>
      <c r="H455" s="222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</row>
    <row r="456" spans="1:36" ht="15.75" customHeight="1">
      <c r="A456" s="221"/>
      <c r="B456" s="220"/>
      <c r="C456" s="220"/>
      <c r="D456" s="220"/>
      <c r="E456" s="220"/>
      <c r="F456" s="220"/>
      <c r="G456" s="220"/>
      <c r="H456" s="222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</row>
    <row r="457" spans="1:36" ht="15.75" customHeight="1">
      <c r="A457" s="221"/>
      <c r="B457" s="220"/>
      <c r="C457" s="220"/>
      <c r="D457" s="220"/>
      <c r="E457" s="220"/>
      <c r="F457" s="220"/>
      <c r="G457" s="220"/>
      <c r="H457" s="222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</row>
    <row r="458" spans="1:36" ht="15.75" customHeight="1">
      <c r="A458" s="221"/>
      <c r="B458" s="220"/>
      <c r="C458" s="220"/>
      <c r="D458" s="220"/>
      <c r="E458" s="220"/>
      <c r="F458" s="220"/>
      <c r="G458" s="220"/>
      <c r="H458" s="222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</row>
    <row r="459" spans="1:36" ht="15.75" customHeight="1">
      <c r="A459" s="221"/>
      <c r="B459" s="220"/>
      <c r="C459" s="220"/>
      <c r="D459" s="220"/>
      <c r="E459" s="220"/>
      <c r="F459" s="220"/>
      <c r="G459" s="220"/>
      <c r="H459" s="222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</row>
    <row r="460" spans="1:36" ht="15.75" customHeight="1">
      <c r="A460" s="221"/>
      <c r="B460" s="220"/>
      <c r="C460" s="220"/>
      <c r="D460" s="220"/>
      <c r="E460" s="220"/>
      <c r="F460" s="220"/>
      <c r="G460" s="220"/>
      <c r="H460" s="222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</row>
    <row r="461" spans="1:36" ht="15.75" customHeight="1">
      <c r="A461" s="221"/>
      <c r="B461" s="220"/>
      <c r="C461" s="220"/>
      <c r="D461" s="220"/>
      <c r="E461" s="220"/>
      <c r="F461" s="220"/>
      <c r="G461" s="220"/>
      <c r="H461" s="222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</row>
    <row r="462" spans="1:36" ht="15.75" customHeight="1">
      <c r="A462" s="221"/>
      <c r="B462" s="220"/>
      <c r="C462" s="220"/>
      <c r="D462" s="220"/>
      <c r="E462" s="220"/>
      <c r="F462" s="220"/>
      <c r="G462" s="220"/>
      <c r="H462" s="222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</row>
    <row r="463" spans="1:36" ht="15.75" customHeight="1">
      <c r="A463" s="221"/>
      <c r="B463" s="220"/>
      <c r="C463" s="220"/>
      <c r="D463" s="220"/>
      <c r="E463" s="220"/>
      <c r="F463" s="220"/>
      <c r="G463" s="220"/>
      <c r="H463" s="222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</row>
    <row r="464" spans="1:36" ht="15.75" customHeight="1">
      <c r="A464" s="221"/>
      <c r="B464" s="220"/>
      <c r="C464" s="220"/>
      <c r="D464" s="220"/>
      <c r="E464" s="220"/>
      <c r="F464" s="220"/>
      <c r="G464" s="220"/>
      <c r="H464" s="222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</row>
    <row r="465" spans="1:36" ht="15.75" customHeight="1">
      <c r="A465" s="221"/>
      <c r="B465" s="220"/>
      <c r="C465" s="220"/>
      <c r="D465" s="220"/>
      <c r="E465" s="220"/>
      <c r="F465" s="220"/>
      <c r="G465" s="220"/>
      <c r="H465" s="222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</row>
    <row r="466" spans="1:36" ht="15.75" customHeight="1">
      <c r="A466" s="221"/>
      <c r="B466" s="220"/>
      <c r="C466" s="220"/>
      <c r="D466" s="220"/>
      <c r="E466" s="220"/>
      <c r="F466" s="220"/>
      <c r="G466" s="220"/>
      <c r="H466" s="222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</row>
    <row r="467" spans="1:36" ht="15.75" customHeight="1">
      <c r="A467" s="221"/>
      <c r="B467" s="220"/>
      <c r="C467" s="220"/>
      <c r="D467" s="220"/>
      <c r="E467" s="220"/>
      <c r="F467" s="220"/>
      <c r="G467" s="220"/>
      <c r="H467" s="222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</row>
    <row r="468" spans="1:36" ht="15.75" customHeight="1">
      <c r="A468" s="221"/>
      <c r="B468" s="220"/>
      <c r="C468" s="220"/>
      <c r="D468" s="220"/>
      <c r="E468" s="220"/>
      <c r="F468" s="220"/>
      <c r="G468" s="220"/>
      <c r="H468" s="222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</row>
    <row r="469" spans="1:36" ht="15.75" customHeight="1">
      <c r="A469" s="221"/>
      <c r="B469" s="220"/>
      <c r="C469" s="220"/>
      <c r="D469" s="220"/>
      <c r="E469" s="220"/>
      <c r="F469" s="220"/>
      <c r="G469" s="220"/>
      <c r="H469" s="222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</row>
    <row r="470" spans="1:36" ht="15.75" customHeight="1">
      <c r="A470" s="221"/>
      <c r="B470" s="220"/>
      <c r="C470" s="220"/>
      <c r="D470" s="220"/>
      <c r="E470" s="220"/>
      <c r="F470" s="220"/>
      <c r="G470" s="220"/>
      <c r="H470" s="222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</row>
    <row r="471" spans="1:36" ht="15.75" customHeight="1">
      <c r="A471" s="221"/>
      <c r="B471" s="220"/>
      <c r="C471" s="220"/>
      <c r="D471" s="220"/>
      <c r="E471" s="220"/>
      <c r="F471" s="220"/>
      <c r="G471" s="220"/>
      <c r="H471" s="222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</row>
    <row r="472" spans="1:36" ht="15.75" customHeight="1">
      <c r="A472" s="221"/>
      <c r="B472" s="220"/>
      <c r="C472" s="220"/>
      <c r="D472" s="220"/>
      <c r="E472" s="220"/>
      <c r="F472" s="220"/>
      <c r="G472" s="220"/>
      <c r="H472" s="222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</row>
    <row r="473" spans="1:36" ht="15.75" customHeight="1">
      <c r="A473" s="221"/>
      <c r="B473" s="220"/>
      <c r="C473" s="220"/>
      <c r="D473" s="220"/>
      <c r="E473" s="220"/>
      <c r="F473" s="220"/>
      <c r="G473" s="220"/>
      <c r="H473" s="222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</row>
    <row r="474" spans="1:36" ht="15.75" customHeight="1">
      <c r="A474" s="221"/>
      <c r="B474" s="220"/>
      <c r="C474" s="220"/>
      <c r="D474" s="220"/>
      <c r="E474" s="220"/>
      <c r="F474" s="220"/>
      <c r="G474" s="220"/>
      <c r="H474" s="222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</row>
    <row r="475" spans="1:36" ht="15.75" customHeight="1">
      <c r="A475" s="221"/>
      <c r="B475" s="220"/>
      <c r="C475" s="220"/>
      <c r="D475" s="220"/>
      <c r="E475" s="220"/>
      <c r="F475" s="220"/>
      <c r="G475" s="220"/>
      <c r="H475" s="222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</row>
    <row r="476" spans="1:36" ht="15.75" customHeight="1">
      <c r="A476" s="221"/>
      <c r="B476" s="220"/>
      <c r="C476" s="220"/>
      <c r="D476" s="220"/>
      <c r="E476" s="220"/>
      <c r="F476" s="220"/>
      <c r="G476" s="220"/>
      <c r="H476" s="222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</row>
    <row r="477" spans="1:36" ht="15.75" customHeight="1">
      <c r="A477" s="221"/>
      <c r="B477" s="220"/>
      <c r="C477" s="220"/>
      <c r="D477" s="220"/>
      <c r="E477" s="220"/>
      <c r="F477" s="220"/>
      <c r="G477" s="220"/>
      <c r="H477" s="222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</row>
    <row r="478" spans="1:36" ht="15.75" customHeight="1">
      <c r="A478" s="221"/>
      <c r="B478" s="220"/>
      <c r="C478" s="220"/>
      <c r="D478" s="220"/>
      <c r="E478" s="220"/>
      <c r="F478" s="220"/>
      <c r="G478" s="220"/>
      <c r="H478" s="222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</row>
    <row r="479" spans="1:36" ht="15.75" customHeight="1">
      <c r="A479" s="221"/>
      <c r="B479" s="220"/>
      <c r="C479" s="220"/>
      <c r="D479" s="220"/>
      <c r="E479" s="220"/>
      <c r="F479" s="220"/>
      <c r="G479" s="220"/>
      <c r="H479" s="222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</row>
    <row r="480" spans="1:36" ht="15.75" customHeight="1">
      <c r="A480" s="221"/>
      <c r="B480" s="220"/>
      <c r="C480" s="220"/>
      <c r="D480" s="220"/>
      <c r="E480" s="220"/>
      <c r="F480" s="220"/>
      <c r="G480" s="220"/>
      <c r="H480" s="222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</row>
    <row r="481" spans="1:36" ht="15.75" customHeight="1">
      <c r="A481" s="221"/>
      <c r="B481" s="220"/>
      <c r="C481" s="220"/>
      <c r="D481" s="220"/>
      <c r="E481" s="220"/>
      <c r="F481" s="220"/>
      <c r="G481" s="220"/>
      <c r="H481" s="222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</row>
    <row r="482" spans="1:36" ht="15.75" customHeight="1">
      <c r="A482" s="221"/>
      <c r="B482" s="220"/>
      <c r="C482" s="220"/>
      <c r="D482" s="220"/>
      <c r="E482" s="220"/>
      <c r="F482" s="220"/>
      <c r="G482" s="220"/>
      <c r="H482" s="222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</row>
    <row r="483" spans="1:36" ht="15.75" customHeight="1">
      <c r="A483" s="221"/>
      <c r="B483" s="220"/>
      <c r="C483" s="220"/>
      <c r="D483" s="220"/>
      <c r="E483" s="220"/>
      <c r="F483" s="220"/>
      <c r="G483" s="220"/>
      <c r="H483" s="222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</row>
    <row r="484" spans="1:36" ht="15.75" customHeight="1">
      <c r="A484" s="221"/>
      <c r="B484" s="220"/>
      <c r="C484" s="220"/>
      <c r="D484" s="220"/>
      <c r="E484" s="220"/>
      <c r="F484" s="220"/>
      <c r="G484" s="220"/>
      <c r="H484" s="222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</row>
    <row r="485" spans="1:36" ht="15.75" customHeight="1">
      <c r="A485" s="221"/>
      <c r="B485" s="220"/>
      <c r="C485" s="220"/>
      <c r="D485" s="220"/>
      <c r="E485" s="220"/>
      <c r="F485" s="220"/>
      <c r="G485" s="220"/>
      <c r="H485" s="222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</row>
    <row r="486" spans="1:36" ht="15.75" customHeight="1">
      <c r="A486" s="221"/>
      <c r="B486" s="220"/>
      <c r="C486" s="220"/>
      <c r="D486" s="220"/>
      <c r="E486" s="220"/>
      <c r="F486" s="220"/>
      <c r="G486" s="220"/>
      <c r="H486" s="222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</row>
    <row r="487" spans="1:36" ht="15.75" customHeight="1">
      <c r="A487" s="221"/>
      <c r="B487" s="220"/>
      <c r="C487" s="220"/>
      <c r="D487" s="220"/>
      <c r="E487" s="220"/>
      <c r="F487" s="220"/>
      <c r="G487" s="220"/>
      <c r="H487" s="222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</row>
    <row r="488" spans="1:36" ht="15.75" customHeight="1">
      <c r="A488" s="221"/>
      <c r="B488" s="220"/>
      <c r="C488" s="220"/>
      <c r="D488" s="220"/>
      <c r="E488" s="220"/>
      <c r="F488" s="220"/>
      <c r="G488" s="220"/>
      <c r="H488" s="222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</row>
    <row r="489" spans="1:36" ht="15.75" customHeight="1">
      <c r="A489" s="221"/>
      <c r="B489" s="220"/>
      <c r="C489" s="220"/>
      <c r="D489" s="220"/>
      <c r="E489" s="220"/>
      <c r="F489" s="220"/>
      <c r="G489" s="220"/>
      <c r="H489" s="222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</row>
    <row r="490" spans="1:36" ht="15.75" customHeight="1">
      <c r="A490" s="221"/>
      <c r="B490" s="220"/>
      <c r="C490" s="220"/>
      <c r="D490" s="220"/>
      <c r="E490" s="220"/>
      <c r="F490" s="220"/>
      <c r="G490" s="220"/>
      <c r="H490" s="222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</row>
    <row r="491" spans="1:36" ht="15.75" customHeight="1">
      <c r="A491" s="221"/>
      <c r="B491" s="220"/>
      <c r="C491" s="220"/>
      <c r="D491" s="220"/>
      <c r="E491" s="220"/>
      <c r="F491" s="220"/>
      <c r="G491" s="220"/>
      <c r="H491" s="222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</row>
    <row r="492" spans="1:36" ht="15.75" customHeight="1">
      <c r="A492" s="221"/>
      <c r="B492" s="220"/>
      <c r="C492" s="220"/>
      <c r="D492" s="220"/>
      <c r="E492" s="220"/>
      <c r="F492" s="220"/>
      <c r="G492" s="220"/>
      <c r="H492" s="222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</row>
    <row r="493" spans="1:36" ht="15.75" customHeight="1">
      <c r="A493" s="221"/>
      <c r="B493" s="220"/>
      <c r="C493" s="220"/>
      <c r="D493" s="220"/>
      <c r="E493" s="220"/>
      <c r="F493" s="220"/>
      <c r="G493" s="220"/>
      <c r="H493" s="222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</row>
    <row r="494" spans="1:36" ht="15.75" customHeight="1">
      <c r="A494" s="221"/>
      <c r="B494" s="220"/>
      <c r="C494" s="220"/>
      <c r="D494" s="220"/>
      <c r="E494" s="220"/>
      <c r="F494" s="220"/>
      <c r="G494" s="220"/>
      <c r="H494" s="222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</row>
    <row r="495" spans="1:36" ht="15.75" customHeight="1">
      <c r="A495" s="221"/>
      <c r="B495" s="220"/>
      <c r="C495" s="220"/>
      <c r="D495" s="220"/>
      <c r="E495" s="220"/>
      <c r="F495" s="220"/>
      <c r="G495" s="220"/>
      <c r="H495" s="222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</row>
    <row r="496" spans="1:36" ht="15.75" customHeight="1">
      <c r="A496" s="221"/>
      <c r="B496" s="220"/>
      <c r="C496" s="220"/>
      <c r="D496" s="220"/>
      <c r="E496" s="220"/>
      <c r="F496" s="220"/>
      <c r="G496" s="220"/>
      <c r="H496" s="222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</row>
    <row r="497" spans="1:36" ht="15.75" customHeight="1">
      <c r="A497" s="221"/>
      <c r="B497" s="220"/>
      <c r="C497" s="220"/>
      <c r="D497" s="220"/>
      <c r="E497" s="220"/>
      <c r="F497" s="220"/>
      <c r="G497" s="220"/>
      <c r="H497" s="222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</row>
    <row r="498" spans="1:36" ht="15.75" customHeight="1">
      <c r="A498" s="221"/>
      <c r="B498" s="220"/>
      <c r="C498" s="220"/>
      <c r="D498" s="220"/>
      <c r="E498" s="220"/>
      <c r="F498" s="220"/>
      <c r="G498" s="220"/>
      <c r="H498" s="222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</row>
    <row r="499" spans="1:36" ht="15.75" customHeight="1">
      <c r="A499" s="221"/>
      <c r="B499" s="220"/>
      <c r="C499" s="220"/>
      <c r="D499" s="220"/>
      <c r="E499" s="220"/>
      <c r="F499" s="220"/>
      <c r="G499" s="220"/>
      <c r="H499" s="222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</row>
    <row r="500" spans="1:36" ht="15.75" customHeight="1">
      <c r="A500" s="221"/>
      <c r="B500" s="220"/>
      <c r="C500" s="220"/>
      <c r="D500" s="220"/>
      <c r="E500" s="220"/>
      <c r="F500" s="220"/>
      <c r="G500" s="220"/>
      <c r="H500" s="222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</row>
    <row r="501" spans="1:36" ht="15.75" customHeight="1">
      <c r="A501" s="221"/>
      <c r="B501" s="220"/>
      <c r="C501" s="220"/>
      <c r="D501" s="220"/>
      <c r="E501" s="220"/>
      <c r="F501" s="220"/>
      <c r="G501" s="220"/>
      <c r="H501" s="222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</row>
    <row r="502" spans="1:36" ht="15.75" customHeight="1">
      <c r="A502" s="221"/>
      <c r="B502" s="220"/>
      <c r="C502" s="220"/>
      <c r="D502" s="220"/>
      <c r="E502" s="220"/>
      <c r="F502" s="220"/>
      <c r="G502" s="220"/>
      <c r="H502" s="222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</row>
    <row r="503" spans="1:36" ht="15.75" customHeight="1">
      <c r="A503" s="221"/>
      <c r="B503" s="220"/>
      <c r="C503" s="220"/>
      <c r="D503" s="220"/>
      <c r="E503" s="220"/>
      <c r="F503" s="220"/>
      <c r="G503" s="220"/>
      <c r="H503" s="222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</row>
    <row r="504" spans="1:36" ht="15.75" customHeight="1">
      <c r="A504" s="221"/>
      <c r="B504" s="220"/>
      <c r="C504" s="220"/>
      <c r="D504" s="220"/>
      <c r="E504" s="220"/>
      <c r="F504" s="220"/>
      <c r="G504" s="220"/>
      <c r="H504" s="222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</row>
    <row r="505" spans="1:36" ht="15.75" customHeight="1">
      <c r="A505" s="221"/>
      <c r="B505" s="220"/>
      <c r="C505" s="220"/>
      <c r="D505" s="220"/>
      <c r="E505" s="220"/>
      <c r="F505" s="220"/>
      <c r="G505" s="220"/>
      <c r="H505" s="222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</row>
    <row r="506" spans="1:36" ht="15.75" customHeight="1">
      <c r="A506" s="221"/>
      <c r="B506" s="220"/>
      <c r="C506" s="220"/>
      <c r="D506" s="220"/>
      <c r="E506" s="220"/>
      <c r="F506" s="220"/>
      <c r="G506" s="220"/>
      <c r="H506" s="222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</row>
    <row r="507" spans="1:36" ht="15.75" customHeight="1">
      <c r="A507" s="221"/>
      <c r="B507" s="220"/>
      <c r="C507" s="220"/>
      <c r="D507" s="220"/>
      <c r="E507" s="220"/>
      <c r="F507" s="220"/>
      <c r="G507" s="220"/>
      <c r="H507" s="222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</row>
    <row r="508" spans="1:36" ht="15.75" customHeight="1">
      <c r="A508" s="221"/>
      <c r="B508" s="220"/>
      <c r="C508" s="220"/>
      <c r="D508" s="220"/>
      <c r="E508" s="220"/>
      <c r="F508" s="220"/>
      <c r="G508" s="220"/>
      <c r="H508" s="222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</row>
    <row r="509" spans="1:36" ht="15.75" customHeight="1">
      <c r="A509" s="221"/>
      <c r="B509" s="220"/>
      <c r="C509" s="220"/>
      <c r="D509" s="220"/>
      <c r="E509" s="220"/>
      <c r="F509" s="220"/>
      <c r="G509" s="220"/>
      <c r="H509" s="222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</row>
    <row r="510" spans="1:36" ht="15.75" customHeight="1">
      <c r="A510" s="221"/>
      <c r="B510" s="220"/>
      <c r="C510" s="220"/>
      <c r="D510" s="220"/>
      <c r="E510" s="220"/>
      <c r="F510" s="220"/>
      <c r="G510" s="220"/>
      <c r="H510" s="222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</row>
    <row r="511" spans="1:36" ht="15.75" customHeight="1">
      <c r="A511" s="221"/>
      <c r="B511" s="220"/>
      <c r="C511" s="220"/>
      <c r="D511" s="220"/>
      <c r="E511" s="220"/>
      <c r="F511" s="220"/>
      <c r="G511" s="220"/>
      <c r="H511" s="222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</row>
    <row r="512" spans="1:36" ht="15.75" customHeight="1">
      <c r="A512" s="221"/>
      <c r="B512" s="220"/>
      <c r="C512" s="220"/>
      <c r="D512" s="220"/>
      <c r="E512" s="220"/>
      <c r="F512" s="220"/>
      <c r="G512" s="220"/>
      <c r="H512" s="222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</row>
    <row r="513" spans="1:36" ht="15.75" customHeight="1">
      <c r="A513" s="221"/>
      <c r="B513" s="220"/>
      <c r="C513" s="220"/>
      <c r="D513" s="220"/>
      <c r="E513" s="220"/>
      <c r="F513" s="220"/>
      <c r="G513" s="220"/>
      <c r="H513" s="222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</row>
    <row r="514" spans="1:36" ht="15.75" customHeight="1">
      <c r="A514" s="221"/>
      <c r="B514" s="220"/>
      <c r="C514" s="220"/>
      <c r="D514" s="220"/>
      <c r="E514" s="220"/>
      <c r="F514" s="220"/>
      <c r="G514" s="220"/>
      <c r="H514" s="222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</row>
    <row r="515" spans="1:36" ht="15.75" customHeight="1">
      <c r="A515" s="221"/>
      <c r="B515" s="220"/>
      <c r="C515" s="220"/>
      <c r="D515" s="220"/>
      <c r="E515" s="220"/>
      <c r="F515" s="220"/>
      <c r="G515" s="220"/>
      <c r="H515" s="222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</row>
    <row r="516" spans="1:36" ht="15.75" customHeight="1">
      <c r="A516" s="221"/>
      <c r="B516" s="220"/>
      <c r="C516" s="220"/>
      <c r="D516" s="220"/>
      <c r="E516" s="220"/>
      <c r="F516" s="220"/>
      <c r="G516" s="220"/>
      <c r="H516" s="222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</row>
    <row r="517" spans="1:36" ht="15.75" customHeight="1">
      <c r="A517" s="221"/>
      <c r="B517" s="220"/>
      <c r="C517" s="220"/>
      <c r="D517" s="220"/>
      <c r="E517" s="220"/>
      <c r="F517" s="220"/>
      <c r="G517" s="220"/>
      <c r="H517" s="222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</row>
    <row r="518" spans="1:36" ht="15.75" customHeight="1">
      <c r="A518" s="221"/>
      <c r="B518" s="220"/>
      <c r="C518" s="220"/>
      <c r="D518" s="220"/>
      <c r="E518" s="220"/>
      <c r="F518" s="220"/>
      <c r="G518" s="220"/>
      <c r="H518" s="222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</row>
    <row r="519" spans="1:36" ht="15.75" customHeight="1">
      <c r="A519" s="221"/>
      <c r="B519" s="220"/>
      <c r="C519" s="220"/>
      <c r="D519" s="220"/>
      <c r="E519" s="220"/>
      <c r="F519" s="220"/>
      <c r="G519" s="220"/>
      <c r="H519" s="222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</row>
    <row r="520" spans="1:36" ht="15.75" customHeight="1">
      <c r="A520" s="221"/>
      <c r="B520" s="220"/>
      <c r="C520" s="220"/>
      <c r="D520" s="220"/>
      <c r="E520" s="220"/>
      <c r="F520" s="220"/>
      <c r="G520" s="220"/>
      <c r="H520" s="222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</row>
    <row r="521" spans="1:36" ht="15.75" customHeight="1">
      <c r="A521" s="221"/>
      <c r="B521" s="220"/>
      <c r="C521" s="220"/>
      <c r="D521" s="220"/>
      <c r="E521" s="220"/>
      <c r="F521" s="220"/>
      <c r="G521" s="220"/>
      <c r="H521" s="222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</row>
    <row r="522" spans="1:36" ht="15.75" customHeight="1">
      <c r="A522" s="221"/>
      <c r="B522" s="220"/>
      <c r="C522" s="220"/>
      <c r="D522" s="220"/>
      <c r="E522" s="220"/>
      <c r="F522" s="220"/>
      <c r="G522" s="220"/>
      <c r="H522" s="222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</row>
    <row r="523" spans="1:36" ht="15.75" customHeight="1">
      <c r="A523" s="221"/>
      <c r="B523" s="220"/>
      <c r="C523" s="220"/>
      <c r="D523" s="220"/>
      <c r="E523" s="220"/>
      <c r="F523" s="220"/>
      <c r="G523" s="220"/>
      <c r="H523" s="222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</row>
    <row r="524" spans="1:36" ht="15.75" customHeight="1">
      <c r="A524" s="221"/>
      <c r="B524" s="220"/>
      <c r="C524" s="220"/>
      <c r="D524" s="220"/>
      <c r="E524" s="220"/>
      <c r="F524" s="220"/>
      <c r="G524" s="220"/>
      <c r="H524" s="222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</row>
    <row r="525" spans="1:36" ht="15.75" customHeight="1">
      <c r="A525" s="221"/>
      <c r="B525" s="220"/>
      <c r="C525" s="220"/>
      <c r="D525" s="220"/>
      <c r="E525" s="220"/>
      <c r="F525" s="220"/>
      <c r="G525" s="220"/>
      <c r="H525" s="222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</row>
    <row r="526" spans="1:36" ht="15.75" customHeight="1">
      <c r="A526" s="221"/>
      <c r="B526" s="220"/>
      <c r="C526" s="220"/>
      <c r="D526" s="220"/>
      <c r="E526" s="220"/>
      <c r="F526" s="220"/>
      <c r="G526" s="220"/>
      <c r="H526" s="222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</row>
    <row r="527" spans="1:36" ht="15.75" customHeight="1">
      <c r="A527" s="221"/>
      <c r="B527" s="220"/>
      <c r="C527" s="220"/>
      <c r="D527" s="220"/>
      <c r="E527" s="220"/>
      <c r="F527" s="220"/>
      <c r="G527" s="220"/>
      <c r="H527" s="222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</row>
    <row r="528" spans="1:36" ht="15.75" customHeight="1">
      <c r="A528" s="221"/>
      <c r="B528" s="220"/>
      <c r="C528" s="220"/>
      <c r="D528" s="220"/>
      <c r="E528" s="220"/>
      <c r="F528" s="220"/>
      <c r="G528" s="220"/>
      <c r="H528" s="222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</row>
    <row r="529" spans="1:36" ht="15.75" customHeight="1">
      <c r="A529" s="221"/>
      <c r="B529" s="220"/>
      <c r="C529" s="220"/>
      <c r="D529" s="220"/>
      <c r="E529" s="220"/>
      <c r="F529" s="220"/>
      <c r="G529" s="220"/>
      <c r="H529" s="222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</row>
    <row r="530" spans="1:36" ht="15.75" customHeight="1">
      <c r="A530" s="221"/>
      <c r="B530" s="220"/>
      <c r="C530" s="220"/>
      <c r="D530" s="220"/>
      <c r="E530" s="220"/>
      <c r="F530" s="220"/>
      <c r="G530" s="220"/>
      <c r="H530" s="222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</row>
    <row r="531" spans="1:36" ht="15.75" customHeight="1">
      <c r="A531" s="221"/>
      <c r="B531" s="220"/>
      <c r="C531" s="220"/>
      <c r="D531" s="220"/>
      <c r="E531" s="220"/>
      <c r="F531" s="220"/>
      <c r="G531" s="220"/>
      <c r="H531" s="222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</row>
    <row r="532" spans="1:36" ht="15.75" customHeight="1">
      <c r="A532" s="221"/>
      <c r="B532" s="220"/>
      <c r="C532" s="220"/>
      <c r="D532" s="220"/>
      <c r="E532" s="220"/>
      <c r="F532" s="220"/>
      <c r="G532" s="220"/>
      <c r="H532" s="222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</row>
    <row r="533" spans="1:36" ht="15.75" customHeight="1">
      <c r="A533" s="221"/>
      <c r="B533" s="220"/>
      <c r="C533" s="220"/>
      <c r="D533" s="220"/>
      <c r="E533" s="220"/>
      <c r="F533" s="220"/>
      <c r="G533" s="220"/>
      <c r="H533" s="222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</row>
    <row r="534" spans="1:36" ht="15.75" customHeight="1">
      <c r="A534" s="221"/>
      <c r="B534" s="220"/>
      <c r="C534" s="220"/>
      <c r="D534" s="220"/>
      <c r="E534" s="220"/>
      <c r="F534" s="220"/>
      <c r="G534" s="220"/>
      <c r="H534" s="222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</row>
    <row r="535" spans="1:36" ht="15.75" customHeight="1">
      <c r="A535" s="221"/>
      <c r="B535" s="220"/>
      <c r="C535" s="220"/>
      <c r="D535" s="220"/>
      <c r="E535" s="220"/>
      <c r="F535" s="220"/>
      <c r="G535" s="220"/>
      <c r="H535" s="222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</row>
    <row r="536" spans="1:36" ht="15.75" customHeight="1">
      <c r="A536" s="221"/>
      <c r="B536" s="220"/>
      <c r="C536" s="220"/>
      <c r="D536" s="220"/>
      <c r="E536" s="220"/>
      <c r="F536" s="220"/>
      <c r="G536" s="220"/>
      <c r="H536" s="222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</row>
    <row r="537" spans="1:36" ht="15.75" customHeight="1">
      <c r="A537" s="221"/>
      <c r="B537" s="220"/>
      <c r="C537" s="220"/>
      <c r="D537" s="220"/>
      <c r="E537" s="220"/>
      <c r="F537" s="220"/>
      <c r="G537" s="220"/>
      <c r="H537" s="222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</row>
    <row r="538" spans="1:36" ht="15.75" customHeight="1">
      <c r="A538" s="221"/>
      <c r="B538" s="220"/>
      <c r="C538" s="220"/>
      <c r="D538" s="220"/>
      <c r="E538" s="220"/>
      <c r="F538" s="220"/>
      <c r="G538" s="220"/>
      <c r="H538" s="222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</row>
    <row r="539" spans="1:36" ht="15.75" customHeight="1">
      <c r="A539" s="221"/>
      <c r="B539" s="220"/>
      <c r="C539" s="220"/>
      <c r="D539" s="220"/>
      <c r="E539" s="220"/>
      <c r="F539" s="220"/>
      <c r="G539" s="220"/>
      <c r="H539" s="222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</row>
    <row r="540" spans="1:36" ht="15.75" customHeight="1">
      <c r="A540" s="221"/>
      <c r="B540" s="220"/>
      <c r="C540" s="220"/>
      <c r="D540" s="220"/>
      <c r="E540" s="220"/>
      <c r="F540" s="220"/>
      <c r="G540" s="220"/>
      <c r="H540" s="222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</row>
    <row r="541" spans="1:36" ht="15.75" customHeight="1">
      <c r="A541" s="221"/>
      <c r="B541" s="220"/>
      <c r="C541" s="220"/>
      <c r="D541" s="220"/>
      <c r="E541" s="220"/>
      <c r="F541" s="220"/>
      <c r="G541" s="220"/>
      <c r="H541" s="222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</row>
    <row r="542" spans="1:36" ht="15.75" customHeight="1">
      <c r="A542" s="221"/>
      <c r="B542" s="220"/>
      <c r="C542" s="220"/>
      <c r="D542" s="220"/>
      <c r="E542" s="220"/>
      <c r="F542" s="220"/>
      <c r="G542" s="220"/>
      <c r="H542" s="222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</row>
    <row r="543" spans="1:36" ht="15.75" customHeight="1">
      <c r="A543" s="221"/>
      <c r="B543" s="220"/>
      <c r="C543" s="220"/>
      <c r="D543" s="220"/>
      <c r="E543" s="220"/>
      <c r="F543" s="220"/>
      <c r="G543" s="220"/>
      <c r="H543" s="222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</row>
    <row r="544" spans="1:36" ht="15.75" customHeight="1">
      <c r="A544" s="221"/>
      <c r="B544" s="220"/>
      <c r="C544" s="220"/>
      <c r="D544" s="220"/>
      <c r="E544" s="220"/>
      <c r="F544" s="220"/>
      <c r="G544" s="220"/>
      <c r="H544" s="222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</row>
    <row r="545" spans="1:36" ht="15.75" customHeight="1">
      <c r="A545" s="221"/>
      <c r="B545" s="220"/>
      <c r="C545" s="220"/>
      <c r="D545" s="220"/>
      <c r="E545" s="220"/>
      <c r="F545" s="220"/>
      <c r="G545" s="220"/>
      <c r="H545" s="222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</row>
    <row r="546" spans="1:36" ht="15.75" customHeight="1">
      <c r="A546" s="221"/>
      <c r="B546" s="220"/>
      <c r="C546" s="220"/>
      <c r="D546" s="220"/>
      <c r="E546" s="220"/>
      <c r="F546" s="220"/>
      <c r="G546" s="220"/>
      <c r="H546" s="222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</row>
    <row r="547" spans="1:36" ht="15.75" customHeight="1">
      <c r="A547" s="221"/>
      <c r="B547" s="220"/>
      <c r="C547" s="220"/>
      <c r="D547" s="220"/>
      <c r="E547" s="220"/>
      <c r="F547" s="220"/>
      <c r="G547" s="220"/>
      <c r="H547" s="222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</row>
    <row r="548" spans="1:36" ht="15.75" customHeight="1">
      <c r="A548" s="221"/>
      <c r="B548" s="220"/>
      <c r="C548" s="220"/>
      <c r="D548" s="220"/>
      <c r="E548" s="220"/>
      <c r="F548" s="220"/>
      <c r="G548" s="220"/>
      <c r="H548" s="222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</row>
    <row r="549" spans="1:36" ht="15.75" customHeight="1">
      <c r="A549" s="221"/>
      <c r="B549" s="220"/>
      <c r="C549" s="220"/>
      <c r="D549" s="220"/>
      <c r="E549" s="220"/>
      <c r="F549" s="220"/>
      <c r="G549" s="220"/>
      <c r="H549" s="222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</row>
    <row r="550" spans="1:36" ht="15.75" customHeight="1">
      <c r="A550" s="221"/>
      <c r="B550" s="220"/>
      <c r="C550" s="220"/>
      <c r="D550" s="220"/>
      <c r="E550" s="220"/>
      <c r="F550" s="220"/>
      <c r="G550" s="220"/>
      <c r="H550" s="222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</row>
    <row r="551" spans="1:36" ht="15.75" customHeight="1">
      <c r="A551" s="221"/>
      <c r="B551" s="220"/>
      <c r="C551" s="220"/>
      <c r="D551" s="220"/>
      <c r="E551" s="220"/>
      <c r="F551" s="220"/>
      <c r="G551" s="220"/>
      <c r="H551" s="222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</row>
    <row r="552" spans="1:36" ht="15.75" customHeight="1">
      <c r="A552" s="221"/>
      <c r="B552" s="220"/>
      <c r="C552" s="220"/>
      <c r="D552" s="220"/>
      <c r="E552" s="220"/>
      <c r="F552" s="220"/>
      <c r="G552" s="220"/>
      <c r="H552" s="222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</row>
    <row r="553" spans="1:36" ht="15.75" customHeight="1">
      <c r="A553" s="221"/>
      <c r="B553" s="220"/>
      <c r="C553" s="220"/>
      <c r="D553" s="220"/>
      <c r="E553" s="220"/>
      <c r="F553" s="220"/>
      <c r="G553" s="220"/>
      <c r="H553" s="222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</row>
    <row r="554" spans="1:36" ht="15.75" customHeight="1">
      <c r="A554" s="221"/>
      <c r="B554" s="220"/>
      <c r="C554" s="220"/>
      <c r="D554" s="220"/>
      <c r="E554" s="220"/>
      <c r="F554" s="220"/>
      <c r="G554" s="220"/>
      <c r="H554" s="222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</row>
    <row r="555" spans="1:36" ht="15.75" customHeight="1">
      <c r="A555" s="221"/>
      <c r="B555" s="220"/>
      <c r="C555" s="220"/>
      <c r="D555" s="220"/>
      <c r="E555" s="220"/>
      <c r="F555" s="220"/>
      <c r="G555" s="220"/>
      <c r="H555" s="222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</row>
    <row r="556" spans="1:36" ht="15.75" customHeight="1">
      <c r="A556" s="221"/>
      <c r="B556" s="220"/>
      <c r="C556" s="220"/>
      <c r="D556" s="220"/>
      <c r="E556" s="220"/>
      <c r="F556" s="220"/>
      <c r="G556" s="220"/>
      <c r="H556" s="222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</row>
    <row r="557" spans="1:36" ht="15.75" customHeight="1">
      <c r="A557" s="221"/>
      <c r="B557" s="220"/>
      <c r="C557" s="220"/>
      <c r="D557" s="220"/>
      <c r="E557" s="220"/>
      <c r="F557" s="220"/>
      <c r="G557" s="220"/>
      <c r="H557" s="222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</row>
    <row r="558" spans="1:36" ht="15.75" customHeight="1">
      <c r="A558" s="221"/>
      <c r="B558" s="220"/>
      <c r="C558" s="220"/>
      <c r="D558" s="220"/>
      <c r="E558" s="220"/>
      <c r="F558" s="220"/>
      <c r="G558" s="220"/>
      <c r="H558" s="222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</row>
    <row r="559" spans="1:36" ht="15.75" customHeight="1">
      <c r="A559" s="221"/>
      <c r="B559" s="220"/>
      <c r="C559" s="220"/>
      <c r="D559" s="220"/>
      <c r="E559" s="220"/>
      <c r="F559" s="220"/>
      <c r="G559" s="220"/>
      <c r="H559" s="222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</row>
    <row r="560" spans="1:36" ht="15.75" customHeight="1">
      <c r="A560" s="221"/>
      <c r="B560" s="220"/>
      <c r="C560" s="220"/>
      <c r="D560" s="220"/>
      <c r="E560" s="220"/>
      <c r="F560" s="220"/>
      <c r="G560" s="220"/>
      <c r="H560" s="222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</row>
    <row r="561" spans="1:36" ht="15.75" customHeight="1">
      <c r="A561" s="221"/>
      <c r="B561" s="220"/>
      <c r="C561" s="220"/>
      <c r="D561" s="220"/>
      <c r="E561" s="220"/>
      <c r="F561" s="220"/>
      <c r="G561" s="220"/>
      <c r="H561" s="222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</row>
    <row r="562" spans="1:36" ht="15.75" customHeight="1">
      <c r="A562" s="221"/>
      <c r="B562" s="220"/>
      <c r="C562" s="220"/>
      <c r="D562" s="220"/>
      <c r="E562" s="220"/>
      <c r="F562" s="220"/>
      <c r="G562" s="220"/>
      <c r="H562" s="222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</row>
    <row r="563" spans="1:36" ht="15.75" customHeight="1">
      <c r="A563" s="221"/>
      <c r="B563" s="220"/>
      <c r="C563" s="220"/>
      <c r="D563" s="220"/>
      <c r="E563" s="220"/>
      <c r="F563" s="220"/>
      <c r="G563" s="220"/>
      <c r="H563" s="222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</row>
    <row r="564" spans="1:36" ht="15.75" customHeight="1">
      <c r="A564" s="221"/>
      <c r="B564" s="220"/>
      <c r="C564" s="220"/>
      <c r="D564" s="220"/>
      <c r="E564" s="220"/>
      <c r="F564" s="220"/>
      <c r="G564" s="220"/>
      <c r="H564" s="222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</row>
    <row r="565" spans="1:36" ht="15.75" customHeight="1">
      <c r="A565" s="221"/>
      <c r="B565" s="220"/>
      <c r="C565" s="220"/>
      <c r="D565" s="220"/>
      <c r="E565" s="220"/>
      <c r="F565" s="220"/>
      <c r="G565" s="220"/>
      <c r="H565" s="222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</row>
    <row r="566" spans="1:36" ht="15.75" customHeight="1">
      <c r="A566" s="221"/>
      <c r="B566" s="220"/>
      <c r="C566" s="220"/>
      <c r="D566" s="220"/>
      <c r="E566" s="220"/>
      <c r="F566" s="220"/>
      <c r="G566" s="220"/>
      <c r="H566" s="222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</row>
    <row r="567" spans="1:36" ht="15.75" customHeight="1">
      <c r="A567" s="221"/>
      <c r="B567" s="220"/>
      <c r="C567" s="220"/>
      <c r="D567" s="220"/>
      <c r="E567" s="220"/>
      <c r="F567" s="220"/>
      <c r="G567" s="220"/>
      <c r="H567" s="222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</row>
    <row r="568" spans="1:36" ht="15.75" customHeight="1">
      <c r="A568" s="221"/>
      <c r="B568" s="220"/>
      <c r="C568" s="220"/>
      <c r="D568" s="220"/>
      <c r="E568" s="220"/>
      <c r="F568" s="220"/>
      <c r="G568" s="220"/>
      <c r="H568" s="222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</row>
    <row r="569" spans="1:36" ht="15.75" customHeight="1">
      <c r="A569" s="221"/>
      <c r="B569" s="220"/>
      <c r="C569" s="220"/>
      <c r="D569" s="220"/>
      <c r="E569" s="220"/>
      <c r="F569" s="220"/>
      <c r="G569" s="220"/>
      <c r="H569" s="222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</row>
    <row r="570" spans="1:36" ht="15.75" customHeight="1">
      <c r="A570" s="221"/>
      <c r="B570" s="220"/>
      <c r="C570" s="220"/>
      <c r="D570" s="220"/>
      <c r="E570" s="220"/>
      <c r="F570" s="220"/>
      <c r="G570" s="220"/>
      <c r="H570" s="222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</row>
    <row r="571" spans="1:36" ht="15.75" customHeight="1">
      <c r="A571" s="221"/>
      <c r="B571" s="220"/>
      <c r="C571" s="220"/>
      <c r="D571" s="220"/>
      <c r="E571" s="220"/>
      <c r="F571" s="220"/>
      <c r="G571" s="220"/>
      <c r="H571" s="222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</row>
    <row r="572" spans="1:36" ht="15.75" customHeight="1">
      <c r="A572" s="221"/>
      <c r="B572" s="220"/>
      <c r="C572" s="220"/>
      <c r="D572" s="220"/>
      <c r="E572" s="220"/>
      <c r="F572" s="220"/>
      <c r="G572" s="220"/>
      <c r="H572" s="222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</row>
    <row r="573" spans="1:36" ht="15.75" customHeight="1">
      <c r="A573" s="221"/>
      <c r="B573" s="220"/>
      <c r="C573" s="220"/>
      <c r="D573" s="220"/>
      <c r="E573" s="220"/>
      <c r="F573" s="220"/>
      <c r="G573" s="220"/>
      <c r="H573" s="222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</row>
    <row r="574" spans="1:36" ht="15.75" customHeight="1">
      <c r="A574" s="221"/>
      <c r="B574" s="220"/>
      <c r="C574" s="220"/>
      <c r="D574" s="220"/>
      <c r="E574" s="220"/>
      <c r="F574" s="220"/>
      <c r="G574" s="220"/>
      <c r="H574" s="222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</row>
    <row r="575" spans="1:36" ht="15.75" customHeight="1">
      <c r="A575" s="221"/>
      <c r="B575" s="220"/>
      <c r="C575" s="220"/>
      <c r="D575" s="220"/>
      <c r="E575" s="220"/>
      <c r="F575" s="220"/>
      <c r="G575" s="220"/>
      <c r="H575" s="222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</row>
    <row r="576" spans="1:36" ht="15.75" customHeight="1">
      <c r="A576" s="221"/>
      <c r="B576" s="220"/>
      <c r="C576" s="220"/>
      <c r="D576" s="220"/>
      <c r="E576" s="220"/>
      <c r="F576" s="220"/>
      <c r="G576" s="220"/>
      <c r="H576" s="222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</row>
    <row r="577" spans="1:36" ht="15.75" customHeight="1">
      <c r="A577" s="221"/>
      <c r="B577" s="220"/>
      <c r="C577" s="220"/>
      <c r="D577" s="220"/>
      <c r="E577" s="220"/>
      <c r="F577" s="220"/>
      <c r="G577" s="220"/>
      <c r="H577" s="222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</row>
    <row r="578" spans="1:36" ht="15.75" customHeight="1">
      <c r="A578" s="221"/>
      <c r="B578" s="220"/>
      <c r="C578" s="220"/>
      <c r="D578" s="220"/>
      <c r="E578" s="220"/>
      <c r="F578" s="220"/>
      <c r="G578" s="220"/>
      <c r="H578" s="222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</row>
    <row r="579" spans="1:36" ht="15.75" customHeight="1">
      <c r="A579" s="221"/>
      <c r="B579" s="220"/>
      <c r="C579" s="220"/>
      <c r="D579" s="220"/>
      <c r="E579" s="220"/>
      <c r="F579" s="220"/>
      <c r="G579" s="220"/>
      <c r="H579" s="222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</row>
    <row r="580" spans="1:36" ht="15.75" customHeight="1">
      <c r="A580" s="221"/>
      <c r="B580" s="220"/>
      <c r="C580" s="220"/>
      <c r="D580" s="220"/>
      <c r="E580" s="220"/>
      <c r="F580" s="220"/>
      <c r="G580" s="220"/>
      <c r="H580" s="222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</row>
    <row r="581" spans="1:36" ht="15.75" customHeight="1">
      <c r="A581" s="221"/>
      <c r="B581" s="220"/>
      <c r="C581" s="220"/>
      <c r="D581" s="220"/>
      <c r="E581" s="220"/>
      <c r="F581" s="220"/>
      <c r="G581" s="220"/>
      <c r="H581" s="222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</row>
    <row r="582" spans="1:36" ht="15.75" customHeight="1">
      <c r="A582" s="221"/>
      <c r="B582" s="220"/>
      <c r="C582" s="220"/>
      <c r="D582" s="220"/>
      <c r="E582" s="220"/>
      <c r="F582" s="220"/>
      <c r="G582" s="220"/>
      <c r="H582" s="222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</row>
    <row r="583" spans="1:36" ht="15.75" customHeight="1">
      <c r="A583" s="221"/>
      <c r="B583" s="220"/>
      <c r="C583" s="220"/>
      <c r="D583" s="220"/>
      <c r="E583" s="220"/>
      <c r="F583" s="220"/>
      <c r="G583" s="220"/>
      <c r="H583" s="222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</row>
    <row r="584" spans="1:36" ht="15.75" customHeight="1">
      <c r="A584" s="221"/>
      <c r="B584" s="220"/>
      <c r="C584" s="220"/>
      <c r="D584" s="220"/>
      <c r="E584" s="220"/>
      <c r="F584" s="220"/>
      <c r="G584" s="220"/>
      <c r="H584" s="222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</row>
    <row r="585" spans="1:36" ht="15.75" customHeight="1">
      <c r="A585" s="221"/>
      <c r="B585" s="220"/>
      <c r="C585" s="220"/>
      <c r="D585" s="220"/>
      <c r="E585" s="220"/>
      <c r="F585" s="220"/>
      <c r="G585" s="220"/>
      <c r="H585" s="222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</row>
    <row r="586" spans="1:36" ht="15.75" customHeight="1">
      <c r="A586" s="221"/>
      <c r="B586" s="220"/>
      <c r="C586" s="220"/>
      <c r="D586" s="220"/>
      <c r="E586" s="220"/>
      <c r="F586" s="220"/>
      <c r="G586" s="220"/>
      <c r="H586" s="222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</row>
    <row r="587" spans="1:36" ht="15.75" customHeight="1">
      <c r="A587" s="221"/>
      <c r="B587" s="220"/>
      <c r="C587" s="220"/>
      <c r="D587" s="220"/>
      <c r="E587" s="220"/>
      <c r="F587" s="220"/>
      <c r="G587" s="220"/>
      <c r="H587" s="222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</row>
    <row r="588" spans="1:36" ht="15.75" customHeight="1">
      <c r="A588" s="221"/>
      <c r="B588" s="220"/>
      <c r="C588" s="220"/>
      <c r="D588" s="220"/>
      <c r="E588" s="220"/>
      <c r="F588" s="220"/>
      <c r="G588" s="220"/>
      <c r="H588" s="222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</row>
    <row r="589" spans="1:36" ht="15.75" customHeight="1">
      <c r="A589" s="221"/>
      <c r="B589" s="220"/>
      <c r="C589" s="220"/>
      <c r="D589" s="220"/>
      <c r="E589" s="220"/>
      <c r="F589" s="220"/>
      <c r="G589" s="220"/>
      <c r="H589" s="222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</row>
    <row r="590" spans="1:36" ht="15.75" customHeight="1">
      <c r="A590" s="221"/>
      <c r="B590" s="220"/>
      <c r="C590" s="220"/>
      <c r="D590" s="220"/>
      <c r="E590" s="220"/>
      <c r="F590" s="220"/>
      <c r="G590" s="220"/>
      <c r="H590" s="222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</row>
    <row r="591" spans="1:36" ht="15.75" customHeight="1">
      <c r="A591" s="221"/>
      <c r="B591" s="220"/>
      <c r="C591" s="220"/>
      <c r="D591" s="220"/>
      <c r="E591" s="220"/>
      <c r="F591" s="220"/>
      <c r="G591" s="220"/>
      <c r="H591" s="222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</row>
    <row r="592" spans="1:36" ht="15.75" customHeight="1">
      <c r="A592" s="221"/>
      <c r="B592" s="220"/>
      <c r="C592" s="220"/>
      <c r="D592" s="220"/>
      <c r="E592" s="220"/>
      <c r="F592" s="220"/>
      <c r="G592" s="220"/>
      <c r="H592" s="222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</row>
    <row r="593" spans="1:36" ht="15.75" customHeight="1">
      <c r="A593" s="221"/>
      <c r="B593" s="220"/>
      <c r="C593" s="220"/>
      <c r="D593" s="220"/>
      <c r="E593" s="220"/>
      <c r="F593" s="220"/>
      <c r="G593" s="220"/>
      <c r="H593" s="222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</row>
    <row r="594" spans="1:36" ht="15.75" customHeight="1">
      <c r="A594" s="221"/>
      <c r="B594" s="220"/>
      <c r="C594" s="220"/>
      <c r="D594" s="220"/>
      <c r="E594" s="220"/>
      <c r="F594" s="220"/>
      <c r="G594" s="220"/>
      <c r="H594" s="222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</row>
    <row r="595" spans="1:36" ht="15.75" customHeight="1">
      <c r="A595" s="221"/>
      <c r="B595" s="220"/>
      <c r="C595" s="220"/>
      <c r="D595" s="220"/>
      <c r="E595" s="220"/>
      <c r="F595" s="220"/>
      <c r="G595" s="220"/>
      <c r="H595" s="222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</row>
    <row r="596" spans="1:36" ht="15.75" customHeight="1">
      <c r="A596" s="221"/>
      <c r="B596" s="220"/>
      <c r="C596" s="220"/>
      <c r="D596" s="220"/>
      <c r="E596" s="220"/>
      <c r="F596" s="220"/>
      <c r="G596" s="220"/>
      <c r="H596" s="222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</row>
    <row r="597" spans="1:36" ht="15.75" customHeight="1">
      <c r="A597" s="221"/>
      <c r="B597" s="220"/>
      <c r="C597" s="220"/>
      <c r="D597" s="220"/>
      <c r="E597" s="220"/>
      <c r="F597" s="220"/>
      <c r="G597" s="220"/>
      <c r="H597" s="222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</row>
    <row r="598" spans="1:36" ht="15.75" customHeight="1">
      <c r="A598" s="221"/>
      <c r="B598" s="220"/>
      <c r="C598" s="220"/>
      <c r="D598" s="220"/>
      <c r="E598" s="220"/>
      <c r="F598" s="220"/>
      <c r="G598" s="220"/>
      <c r="H598" s="222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</row>
    <row r="599" spans="1:36" ht="15.75" customHeight="1">
      <c r="A599" s="221"/>
      <c r="B599" s="220"/>
      <c r="C599" s="220"/>
      <c r="D599" s="220"/>
      <c r="E599" s="220"/>
      <c r="F599" s="220"/>
      <c r="G599" s="220"/>
      <c r="H599" s="222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</row>
    <row r="600" spans="1:36" ht="15.75" customHeight="1">
      <c r="A600" s="221"/>
      <c r="B600" s="220"/>
      <c r="C600" s="220"/>
      <c r="D600" s="220"/>
      <c r="E600" s="220"/>
      <c r="F600" s="220"/>
      <c r="G600" s="220"/>
      <c r="H600" s="222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</row>
    <row r="601" spans="1:36" ht="15.75" customHeight="1">
      <c r="A601" s="221"/>
      <c r="B601" s="220"/>
      <c r="C601" s="220"/>
      <c r="D601" s="220"/>
      <c r="E601" s="220"/>
      <c r="F601" s="220"/>
      <c r="G601" s="220"/>
      <c r="H601" s="222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</row>
    <row r="602" spans="1:36" ht="15.75" customHeight="1">
      <c r="A602" s="221"/>
      <c r="B602" s="220"/>
      <c r="C602" s="220"/>
      <c r="D602" s="220"/>
      <c r="E602" s="220"/>
      <c r="F602" s="220"/>
      <c r="G602" s="220"/>
      <c r="H602" s="222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</row>
    <row r="603" spans="1:36" ht="15.75" customHeight="1">
      <c r="A603" s="221"/>
      <c r="B603" s="220"/>
      <c r="C603" s="220"/>
      <c r="D603" s="220"/>
      <c r="E603" s="220"/>
      <c r="F603" s="220"/>
      <c r="G603" s="220"/>
      <c r="H603" s="222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</row>
    <row r="604" spans="1:36" ht="15.75" customHeight="1">
      <c r="A604" s="221"/>
      <c r="B604" s="220"/>
      <c r="C604" s="220"/>
      <c r="D604" s="220"/>
      <c r="E604" s="220"/>
      <c r="F604" s="220"/>
      <c r="G604" s="220"/>
      <c r="H604" s="222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</row>
    <row r="605" spans="1:36" ht="15.75" customHeight="1">
      <c r="A605" s="221"/>
      <c r="B605" s="220"/>
      <c r="C605" s="220"/>
      <c r="D605" s="220"/>
      <c r="E605" s="220"/>
      <c r="F605" s="220"/>
      <c r="G605" s="220"/>
      <c r="H605" s="222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</row>
    <row r="606" spans="1:36" ht="15.75" customHeight="1">
      <c r="A606" s="221"/>
      <c r="B606" s="220"/>
      <c r="C606" s="220"/>
      <c r="D606" s="220"/>
      <c r="E606" s="220"/>
      <c r="F606" s="220"/>
      <c r="G606" s="220"/>
      <c r="H606" s="222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</row>
    <row r="607" spans="1:36" ht="15.75" customHeight="1">
      <c r="A607" s="221"/>
      <c r="B607" s="220"/>
      <c r="C607" s="220"/>
      <c r="D607" s="220"/>
      <c r="E607" s="220"/>
      <c r="F607" s="220"/>
      <c r="G607" s="220"/>
      <c r="H607" s="222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</row>
    <row r="608" spans="1:36" ht="15.75" customHeight="1">
      <c r="A608" s="221"/>
      <c r="B608" s="220"/>
      <c r="C608" s="220"/>
      <c r="D608" s="220"/>
      <c r="E608" s="220"/>
      <c r="F608" s="220"/>
      <c r="G608" s="220"/>
      <c r="H608" s="222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</row>
    <row r="609" spans="1:36" ht="15.75" customHeight="1">
      <c r="A609" s="221"/>
      <c r="B609" s="220"/>
      <c r="C609" s="220"/>
      <c r="D609" s="220"/>
      <c r="E609" s="220"/>
      <c r="F609" s="220"/>
      <c r="G609" s="220"/>
      <c r="H609" s="222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</row>
    <row r="610" spans="1:36" ht="15.75" customHeight="1">
      <c r="A610" s="221"/>
      <c r="B610" s="220"/>
      <c r="C610" s="220"/>
      <c r="D610" s="220"/>
      <c r="E610" s="220"/>
      <c r="F610" s="220"/>
      <c r="G610" s="220"/>
      <c r="H610" s="222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</row>
    <row r="611" spans="1:36" ht="15.75" customHeight="1">
      <c r="A611" s="221"/>
      <c r="B611" s="220"/>
      <c r="C611" s="220"/>
      <c r="D611" s="220"/>
      <c r="E611" s="220"/>
      <c r="F611" s="220"/>
      <c r="G611" s="220"/>
      <c r="H611" s="222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</row>
    <row r="612" spans="1:36" ht="15.75" customHeight="1">
      <c r="A612" s="221"/>
      <c r="B612" s="220"/>
      <c r="C612" s="220"/>
      <c r="D612" s="220"/>
      <c r="E612" s="220"/>
      <c r="F612" s="220"/>
      <c r="G612" s="220"/>
      <c r="H612" s="222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</row>
    <row r="613" spans="1:36" ht="15.75" customHeight="1">
      <c r="A613" s="221"/>
      <c r="B613" s="220"/>
      <c r="C613" s="220"/>
      <c r="D613" s="220"/>
      <c r="E613" s="220"/>
      <c r="F613" s="220"/>
      <c r="G613" s="220"/>
      <c r="H613" s="222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</row>
    <row r="614" spans="1:36" ht="15.75" customHeight="1">
      <c r="A614" s="221"/>
      <c r="B614" s="220"/>
      <c r="C614" s="220"/>
      <c r="D614" s="220"/>
      <c r="E614" s="220"/>
      <c r="F614" s="220"/>
      <c r="G614" s="220"/>
      <c r="H614" s="222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220"/>
      <c r="AJ614" s="220"/>
    </row>
    <row r="615" spans="1:36" ht="15.75" customHeight="1">
      <c r="A615" s="221"/>
      <c r="B615" s="220"/>
      <c r="C615" s="220"/>
      <c r="D615" s="220"/>
      <c r="E615" s="220"/>
      <c r="F615" s="220"/>
      <c r="G615" s="220"/>
      <c r="H615" s="222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220"/>
      <c r="AJ615" s="220"/>
    </row>
    <row r="616" spans="1:36" ht="15.75" customHeight="1">
      <c r="A616" s="221"/>
      <c r="B616" s="220"/>
      <c r="C616" s="220"/>
      <c r="D616" s="220"/>
      <c r="E616" s="220"/>
      <c r="F616" s="220"/>
      <c r="G616" s="220"/>
      <c r="H616" s="222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220"/>
      <c r="AJ616" s="220"/>
    </row>
    <row r="617" spans="1:36" ht="15.75" customHeight="1">
      <c r="A617" s="221"/>
      <c r="B617" s="220"/>
      <c r="C617" s="220"/>
      <c r="D617" s="220"/>
      <c r="E617" s="220"/>
      <c r="F617" s="220"/>
      <c r="G617" s="220"/>
      <c r="H617" s="222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220"/>
      <c r="AJ617" s="220"/>
    </row>
    <row r="618" spans="1:36" ht="15.75" customHeight="1">
      <c r="A618" s="221"/>
      <c r="B618" s="220"/>
      <c r="C618" s="220"/>
      <c r="D618" s="220"/>
      <c r="E618" s="220"/>
      <c r="F618" s="220"/>
      <c r="G618" s="220"/>
      <c r="H618" s="222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220"/>
      <c r="AJ618" s="220"/>
    </row>
    <row r="619" spans="1:36" ht="15.75" customHeight="1">
      <c r="A619" s="221"/>
      <c r="B619" s="220"/>
      <c r="C619" s="220"/>
      <c r="D619" s="220"/>
      <c r="E619" s="220"/>
      <c r="F619" s="220"/>
      <c r="G619" s="220"/>
      <c r="H619" s="222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220"/>
      <c r="AJ619" s="220"/>
    </row>
    <row r="620" spans="1:36" ht="15.75" customHeight="1">
      <c r="A620" s="221"/>
      <c r="B620" s="220"/>
      <c r="C620" s="220"/>
      <c r="D620" s="220"/>
      <c r="E620" s="220"/>
      <c r="F620" s="220"/>
      <c r="G620" s="220"/>
      <c r="H620" s="222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220"/>
      <c r="AJ620" s="220"/>
    </row>
    <row r="621" spans="1:36" ht="15.75" customHeight="1">
      <c r="A621" s="221"/>
      <c r="B621" s="220"/>
      <c r="C621" s="220"/>
      <c r="D621" s="220"/>
      <c r="E621" s="220"/>
      <c r="F621" s="220"/>
      <c r="G621" s="220"/>
      <c r="H621" s="222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220"/>
      <c r="AJ621" s="220"/>
    </row>
    <row r="622" spans="1:36" ht="15.75" customHeight="1">
      <c r="A622" s="221"/>
      <c r="B622" s="220"/>
      <c r="C622" s="220"/>
      <c r="D622" s="220"/>
      <c r="E622" s="220"/>
      <c r="F622" s="220"/>
      <c r="G622" s="220"/>
      <c r="H622" s="222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220"/>
      <c r="AJ622" s="220"/>
    </row>
    <row r="623" spans="1:36" ht="15.75" customHeight="1">
      <c r="A623" s="221"/>
      <c r="B623" s="220"/>
      <c r="C623" s="220"/>
      <c r="D623" s="220"/>
      <c r="E623" s="220"/>
      <c r="F623" s="220"/>
      <c r="G623" s="220"/>
      <c r="H623" s="222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220"/>
      <c r="AJ623" s="220"/>
    </row>
    <row r="624" spans="1:36" ht="15.75" customHeight="1">
      <c r="A624" s="221"/>
      <c r="B624" s="220"/>
      <c r="C624" s="220"/>
      <c r="D624" s="220"/>
      <c r="E624" s="220"/>
      <c r="F624" s="220"/>
      <c r="G624" s="220"/>
      <c r="H624" s="222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220"/>
      <c r="AJ624" s="220"/>
    </row>
    <row r="625" spans="1:36" ht="15.75" customHeight="1">
      <c r="A625" s="221"/>
      <c r="B625" s="220"/>
      <c r="C625" s="220"/>
      <c r="D625" s="220"/>
      <c r="E625" s="220"/>
      <c r="F625" s="220"/>
      <c r="G625" s="220"/>
      <c r="H625" s="222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220"/>
      <c r="AJ625" s="220"/>
    </row>
    <row r="626" spans="1:36" ht="15.75" customHeight="1">
      <c r="A626" s="221"/>
      <c r="B626" s="220"/>
      <c r="C626" s="220"/>
      <c r="D626" s="220"/>
      <c r="E626" s="220"/>
      <c r="F626" s="220"/>
      <c r="G626" s="220"/>
      <c r="H626" s="222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220"/>
      <c r="AJ626" s="220"/>
    </row>
    <row r="627" spans="1:36" ht="15.75" customHeight="1">
      <c r="A627" s="221"/>
      <c r="B627" s="220"/>
      <c r="C627" s="220"/>
      <c r="D627" s="220"/>
      <c r="E627" s="220"/>
      <c r="F627" s="220"/>
      <c r="G627" s="220"/>
      <c r="H627" s="222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220"/>
      <c r="AJ627" s="220"/>
    </row>
    <row r="628" spans="1:36" ht="15.75" customHeight="1">
      <c r="A628" s="221"/>
      <c r="B628" s="220"/>
      <c r="C628" s="220"/>
      <c r="D628" s="220"/>
      <c r="E628" s="220"/>
      <c r="F628" s="220"/>
      <c r="G628" s="220"/>
      <c r="H628" s="222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220"/>
      <c r="AJ628" s="220"/>
    </row>
    <row r="629" spans="1:36" ht="15.75" customHeight="1">
      <c r="A629" s="221"/>
      <c r="B629" s="220"/>
      <c r="C629" s="220"/>
      <c r="D629" s="220"/>
      <c r="E629" s="220"/>
      <c r="F629" s="220"/>
      <c r="G629" s="220"/>
      <c r="H629" s="222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220"/>
      <c r="AJ629" s="220"/>
    </row>
    <row r="630" spans="1:36" ht="15.75" customHeight="1">
      <c r="A630" s="221"/>
      <c r="B630" s="220"/>
      <c r="C630" s="220"/>
      <c r="D630" s="220"/>
      <c r="E630" s="220"/>
      <c r="F630" s="220"/>
      <c r="G630" s="220"/>
      <c r="H630" s="222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220"/>
      <c r="AJ630" s="220"/>
    </row>
    <row r="631" spans="1:36" ht="15.75" customHeight="1">
      <c r="A631" s="221"/>
      <c r="B631" s="220"/>
      <c r="C631" s="220"/>
      <c r="D631" s="220"/>
      <c r="E631" s="220"/>
      <c r="F631" s="220"/>
      <c r="G631" s="220"/>
      <c r="H631" s="222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220"/>
      <c r="AJ631" s="220"/>
    </row>
    <row r="632" spans="1:36" ht="15.75" customHeight="1">
      <c r="A632" s="221"/>
      <c r="B632" s="220"/>
      <c r="C632" s="220"/>
      <c r="D632" s="220"/>
      <c r="E632" s="220"/>
      <c r="F632" s="220"/>
      <c r="G632" s="220"/>
      <c r="H632" s="222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220"/>
      <c r="AJ632" s="220"/>
    </row>
    <row r="633" spans="1:36" ht="15.75" customHeight="1">
      <c r="A633" s="221"/>
      <c r="B633" s="220"/>
      <c r="C633" s="220"/>
      <c r="D633" s="220"/>
      <c r="E633" s="220"/>
      <c r="F633" s="220"/>
      <c r="G633" s="220"/>
      <c r="H633" s="222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220"/>
      <c r="AJ633" s="220"/>
    </row>
    <row r="634" spans="1:36" ht="15.75" customHeight="1">
      <c r="A634" s="221"/>
      <c r="B634" s="220"/>
      <c r="C634" s="220"/>
      <c r="D634" s="220"/>
      <c r="E634" s="220"/>
      <c r="F634" s="220"/>
      <c r="G634" s="220"/>
      <c r="H634" s="222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220"/>
      <c r="AJ634" s="220"/>
    </row>
    <row r="635" spans="1:36" ht="15.75" customHeight="1">
      <c r="A635" s="221"/>
      <c r="B635" s="220"/>
      <c r="C635" s="220"/>
      <c r="D635" s="220"/>
      <c r="E635" s="220"/>
      <c r="F635" s="220"/>
      <c r="G635" s="220"/>
      <c r="H635" s="222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220"/>
      <c r="AJ635" s="220"/>
    </row>
    <row r="636" spans="1:36" ht="15.75" customHeight="1">
      <c r="A636" s="221"/>
      <c r="B636" s="220"/>
      <c r="C636" s="220"/>
      <c r="D636" s="220"/>
      <c r="E636" s="220"/>
      <c r="F636" s="220"/>
      <c r="G636" s="220"/>
      <c r="H636" s="222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220"/>
      <c r="AJ636" s="220"/>
    </row>
    <row r="637" spans="1:36" ht="15.75" customHeight="1">
      <c r="A637" s="221"/>
      <c r="B637" s="220"/>
      <c r="C637" s="220"/>
      <c r="D637" s="220"/>
      <c r="E637" s="220"/>
      <c r="F637" s="220"/>
      <c r="G637" s="220"/>
      <c r="H637" s="222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220"/>
      <c r="AJ637" s="220"/>
    </row>
    <row r="638" spans="1:36" ht="15.75" customHeight="1">
      <c r="A638" s="221"/>
      <c r="B638" s="220"/>
      <c r="C638" s="220"/>
      <c r="D638" s="220"/>
      <c r="E638" s="220"/>
      <c r="F638" s="220"/>
      <c r="G638" s="220"/>
      <c r="H638" s="222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220"/>
      <c r="AJ638" s="220"/>
    </row>
    <row r="639" spans="1:36" ht="15.75" customHeight="1">
      <c r="A639" s="221"/>
      <c r="B639" s="220"/>
      <c r="C639" s="220"/>
      <c r="D639" s="220"/>
      <c r="E639" s="220"/>
      <c r="F639" s="220"/>
      <c r="G639" s="220"/>
      <c r="H639" s="222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220"/>
      <c r="AJ639" s="220"/>
    </row>
    <row r="640" spans="1:36" ht="15.75" customHeight="1">
      <c r="A640" s="221"/>
      <c r="B640" s="220"/>
      <c r="C640" s="220"/>
      <c r="D640" s="220"/>
      <c r="E640" s="220"/>
      <c r="F640" s="220"/>
      <c r="G640" s="220"/>
      <c r="H640" s="222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220"/>
      <c r="AJ640" s="220"/>
    </row>
    <row r="641" spans="1:36" ht="15.75" customHeight="1">
      <c r="A641" s="221"/>
      <c r="B641" s="220"/>
      <c r="C641" s="220"/>
      <c r="D641" s="220"/>
      <c r="E641" s="220"/>
      <c r="F641" s="220"/>
      <c r="G641" s="220"/>
      <c r="H641" s="222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220"/>
      <c r="AJ641" s="220"/>
    </row>
    <row r="642" spans="1:36" ht="15.75" customHeight="1">
      <c r="A642" s="221"/>
      <c r="B642" s="220"/>
      <c r="C642" s="220"/>
      <c r="D642" s="220"/>
      <c r="E642" s="220"/>
      <c r="F642" s="220"/>
      <c r="G642" s="220"/>
      <c r="H642" s="222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220"/>
      <c r="AJ642" s="220"/>
    </row>
    <row r="643" spans="1:36" ht="15.75" customHeight="1">
      <c r="A643" s="221"/>
      <c r="B643" s="220"/>
      <c r="C643" s="220"/>
      <c r="D643" s="220"/>
      <c r="E643" s="220"/>
      <c r="F643" s="220"/>
      <c r="G643" s="220"/>
      <c r="H643" s="222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220"/>
      <c r="AJ643" s="220"/>
    </row>
    <row r="644" spans="1:36" ht="15.75" customHeight="1">
      <c r="A644" s="221"/>
      <c r="B644" s="220"/>
      <c r="C644" s="220"/>
      <c r="D644" s="220"/>
      <c r="E644" s="220"/>
      <c r="F644" s="220"/>
      <c r="G644" s="220"/>
      <c r="H644" s="222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220"/>
      <c r="AJ644" s="220"/>
    </row>
    <row r="645" spans="1:36" ht="15.75" customHeight="1">
      <c r="A645" s="221"/>
      <c r="B645" s="220"/>
      <c r="C645" s="220"/>
      <c r="D645" s="220"/>
      <c r="E645" s="220"/>
      <c r="F645" s="220"/>
      <c r="G645" s="220"/>
      <c r="H645" s="222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220"/>
      <c r="AJ645" s="220"/>
    </row>
    <row r="646" spans="1:36" ht="15.75" customHeight="1">
      <c r="A646" s="221"/>
      <c r="B646" s="220"/>
      <c r="C646" s="220"/>
      <c r="D646" s="220"/>
      <c r="E646" s="220"/>
      <c r="F646" s="220"/>
      <c r="G646" s="220"/>
      <c r="H646" s="222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220"/>
      <c r="AJ646" s="220"/>
    </row>
    <row r="647" spans="1:36" ht="15.75" customHeight="1">
      <c r="A647" s="221"/>
      <c r="B647" s="220"/>
      <c r="C647" s="220"/>
      <c r="D647" s="220"/>
      <c r="E647" s="220"/>
      <c r="F647" s="220"/>
      <c r="G647" s="220"/>
      <c r="H647" s="222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220"/>
      <c r="AJ647" s="220"/>
    </row>
    <row r="648" spans="1:36" ht="15.75" customHeight="1">
      <c r="A648" s="221"/>
      <c r="B648" s="220"/>
      <c r="C648" s="220"/>
      <c r="D648" s="220"/>
      <c r="E648" s="220"/>
      <c r="F648" s="220"/>
      <c r="G648" s="220"/>
      <c r="H648" s="222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220"/>
      <c r="AJ648" s="220"/>
    </row>
    <row r="649" spans="1:36" ht="15.75" customHeight="1">
      <c r="A649" s="221"/>
      <c r="B649" s="220"/>
      <c r="C649" s="220"/>
      <c r="D649" s="220"/>
      <c r="E649" s="220"/>
      <c r="F649" s="220"/>
      <c r="G649" s="220"/>
      <c r="H649" s="222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220"/>
      <c r="AJ649" s="220"/>
    </row>
    <row r="650" spans="1:36" ht="15.75" customHeight="1">
      <c r="A650" s="221"/>
      <c r="B650" s="220"/>
      <c r="C650" s="220"/>
      <c r="D650" s="220"/>
      <c r="E650" s="220"/>
      <c r="F650" s="220"/>
      <c r="G650" s="220"/>
      <c r="H650" s="222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220"/>
      <c r="AJ650" s="220"/>
    </row>
    <row r="651" spans="1:36" ht="15.75" customHeight="1">
      <c r="A651" s="221"/>
      <c r="B651" s="220"/>
      <c r="C651" s="220"/>
      <c r="D651" s="220"/>
      <c r="E651" s="220"/>
      <c r="F651" s="220"/>
      <c r="G651" s="220"/>
      <c r="H651" s="222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220"/>
      <c r="AJ651" s="220"/>
    </row>
    <row r="652" spans="1:36" ht="15.75" customHeight="1">
      <c r="A652" s="221"/>
      <c r="B652" s="220"/>
      <c r="C652" s="220"/>
      <c r="D652" s="220"/>
      <c r="E652" s="220"/>
      <c r="F652" s="220"/>
      <c r="G652" s="220"/>
      <c r="H652" s="222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220"/>
      <c r="AJ652" s="220"/>
    </row>
    <row r="653" spans="1:36" ht="15.75" customHeight="1">
      <c r="A653" s="221"/>
      <c r="B653" s="220"/>
      <c r="C653" s="220"/>
      <c r="D653" s="220"/>
      <c r="E653" s="220"/>
      <c r="F653" s="220"/>
      <c r="G653" s="220"/>
      <c r="H653" s="222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220"/>
      <c r="AJ653" s="220"/>
    </row>
    <row r="654" spans="1:36" ht="15.75" customHeight="1">
      <c r="A654" s="221"/>
      <c r="B654" s="220"/>
      <c r="C654" s="220"/>
      <c r="D654" s="220"/>
      <c r="E654" s="220"/>
      <c r="F654" s="220"/>
      <c r="G654" s="220"/>
      <c r="H654" s="222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220"/>
      <c r="AJ654" s="220"/>
    </row>
    <row r="655" spans="1:36" ht="15.75" customHeight="1">
      <c r="A655" s="221"/>
      <c r="B655" s="220"/>
      <c r="C655" s="220"/>
      <c r="D655" s="220"/>
      <c r="E655" s="220"/>
      <c r="F655" s="220"/>
      <c r="G655" s="220"/>
      <c r="H655" s="222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220"/>
      <c r="AJ655" s="220"/>
    </row>
    <row r="656" spans="1:36" ht="15.75" customHeight="1">
      <c r="A656" s="221"/>
      <c r="B656" s="220"/>
      <c r="C656" s="220"/>
      <c r="D656" s="220"/>
      <c r="E656" s="220"/>
      <c r="F656" s="220"/>
      <c r="G656" s="220"/>
      <c r="H656" s="222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220"/>
      <c r="AJ656" s="220"/>
    </row>
    <row r="657" spans="1:36" ht="15.75" customHeight="1">
      <c r="A657" s="221"/>
      <c r="B657" s="220"/>
      <c r="C657" s="220"/>
      <c r="D657" s="220"/>
      <c r="E657" s="220"/>
      <c r="F657" s="220"/>
      <c r="G657" s="220"/>
      <c r="H657" s="222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</row>
    <row r="658" spans="1:36" ht="15.75" customHeight="1">
      <c r="A658" s="221"/>
      <c r="B658" s="220"/>
      <c r="C658" s="220"/>
      <c r="D658" s="220"/>
      <c r="E658" s="220"/>
      <c r="F658" s="220"/>
      <c r="G658" s="220"/>
      <c r="H658" s="222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220"/>
      <c r="AJ658" s="220"/>
    </row>
    <row r="659" spans="1:36" ht="15.75" customHeight="1">
      <c r="A659" s="221"/>
      <c r="B659" s="220"/>
      <c r="C659" s="220"/>
      <c r="D659" s="220"/>
      <c r="E659" s="220"/>
      <c r="F659" s="220"/>
      <c r="G659" s="220"/>
      <c r="H659" s="222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220"/>
      <c r="AJ659" s="220"/>
    </row>
    <row r="660" spans="1:36" ht="15.75" customHeight="1">
      <c r="A660" s="221"/>
      <c r="B660" s="220"/>
      <c r="C660" s="220"/>
      <c r="D660" s="220"/>
      <c r="E660" s="220"/>
      <c r="F660" s="220"/>
      <c r="G660" s="220"/>
      <c r="H660" s="222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220"/>
      <c r="AJ660" s="220"/>
    </row>
    <row r="661" spans="1:36" ht="15.75" customHeight="1">
      <c r="A661" s="221"/>
      <c r="B661" s="220"/>
      <c r="C661" s="220"/>
      <c r="D661" s="220"/>
      <c r="E661" s="220"/>
      <c r="F661" s="220"/>
      <c r="G661" s="220"/>
      <c r="H661" s="222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220"/>
      <c r="AJ661" s="220"/>
    </row>
    <row r="662" spans="1:36" ht="15.75" customHeight="1">
      <c r="A662" s="221"/>
      <c r="B662" s="220"/>
      <c r="C662" s="220"/>
      <c r="D662" s="220"/>
      <c r="E662" s="220"/>
      <c r="F662" s="220"/>
      <c r="G662" s="220"/>
      <c r="H662" s="222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220"/>
      <c r="AJ662" s="220"/>
    </row>
    <row r="663" spans="1:36" ht="15.75" customHeight="1">
      <c r="A663" s="221"/>
      <c r="B663" s="220"/>
      <c r="C663" s="220"/>
      <c r="D663" s="220"/>
      <c r="E663" s="220"/>
      <c r="F663" s="220"/>
      <c r="G663" s="220"/>
      <c r="H663" s="222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220"/>
      <c r="AJ663" s="220"/>
    </row>
    <row r="664" spans="1:36" ht="15.75" customHeight="1">
      <c r="A664" s="221"/>
      <c r="B664" s="220"/>
      <c r="C664" s="220"/>
      <c r="D664" s="220"/>
      <c r="E664" s="220"/>
      <c r="F664" s="220"/>
      <c r="G664" s="220"/>
      <c r="H664" s="222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220"/>
      <c r="AJ664" s="220"/>
    </row>
    <row r="665" spans="1:36" ht="15.75" customHeight="1">
      <c r="A665" s="221"/>
      <c r="B665" s="220"/>
      <c r="C665" s="220"/>
      <c r="D665" s="220"/>
      <c r="E665" s="220"/>
      <c r="F665" s="220"/>
      <c r="G665" s="220"/>
      <c r="H665" s="222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220"/>
      <c r="AJ665" s="220"/>
    </row>
    <row r="666" spans="1:36" ht="15.75" customHeight="1">
      <c r="A666" s="221"/>
      <c r="B666" s="220"/>
      <c r="C666" s="220"/>
      <c r="D666" s="220"/>
      <c r="E666" s="220"/>
      <c r="F666" s="220"/>
      <c r="G666" s="220"/>
      <c r="H666" s="222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220"/>
      <c r="AJ666" s="220"/>
    </row>
    <row r="667" spans="1:36" ht="15.75" customHeight="1">
      <c r="A667" s="221"/>
      <c r="B667" s="220"/>
      <c r="C667" s="220"/>
      <c r="D667" s="220"/>
      <c r="E667" s="220"/>
      <c r="F667" s="220"/>
      <c r="G667" s="220"/>
      <c r="H667" s="222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220"/>
      <c r="AJ667" s="220"/>
    </row>
    <row r="668" spans="1:36" ht="15.75" customHeight="1">
      <c r="A668" s="221"/>
      <c r="B668" s="220"/>
      <c r="C668" s="220"/>
      <c r="D668" s="220"/>
      <c r="E668" s="220"/>
      <c r="F668" s="220"/>
      <c r="G668" s="220"/>
      <c r="H668" s="222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220"/>
      <c r="AJ668" s="220"/>
    </row>
    <row r="669" spans="1:36" ht="15.75" customHeight="1">
      <c r="A669" s="221"/>
      <c r="B669" s="220"/>
      <c r="C669" s="220"/>
      <c r="D669" s="220"/>
      <c r="E669" s="220"/>
      <c r="F669" s="220"/>
      <c r="G669" s="220"/>
      <c r="H669" s="222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220"/>
      <c r="AJ669" s="220"/>
    </row>
    <row r="670" spans="1:36" ht="15.75" customHeight="1">
      <c r="A670" s="221"/>
      <c r="B670" s="220"/>
      <c r="C670" s="220"/>
      <c r="D670" s="220"/>
      <c r="E670" s="220"/>
      <c r="F670" s="220"/>
      <c r="G670" s="220"/>
      <c r="H670" s="222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220"/>
      <c r="AJ670" s="220"/>
    </row>
    <row r="671" spans="1:36" ht="15.75" customHeight="1">
      <c r="A671" s="221"/>
      <c r="B671" s="220"/>
      <c r="C671" s="220"/>
      <c r="D671" s="220"/>
      <c r="E671" s="220"/>
      <c r="F671" s="220"/>
      <c r="G671" s="220"/>
      <c r="H671" s="222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220"/>
      <c r="AJ671" s="220"/>
    </row>
    <row r="672" spans="1:36" ht="15.75" customHeight="1">
      <c r="A672" s="221"/>
      <c r="B672" s="220"/>
      <c r="C672" s="220"/>
      <c r="D672" s="220"/>
      <c r="E672" s="220"/>
      <c r="F672" s="220"/>
      <c r="G672" s="220"/>
      <c r="H672" s="222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220"/>
      <c r="AJ672" s="220"/>
    </row>
    <row r="673" spans="1:36" ht="15.75" customHeight="1">
      <c r="A673" s="221"/>
      <c r="B673" s="220"/>
      <c r="C673" s="220"/>
      <c r="D673" s="220"/>
      <c r="E673" s="220"/>
      <c r="F673" s="220"/>
      <c r="G673" s="220"/>
      <c r="H673" s="222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220"/>
      <c r="AJ673" s="220"/>
    </row>
    <row r="674" spans="1:36" ht="15.75" customHeight="1">
      <c r="A674" s="221"/>
      <c r="B674" s="220"/>
      <c r="C674" s="220"/>
      <c r="D674" s="220"/>
      <c r="E674" s="220"/>
      <c r="F674" s="220"/>
      <c r="G674" s="220"/>
      <c r="H674" s="222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220"/>
      <c r="AJ674" s="220"/>
    </row>
    <row r="675" spans="1:36" ht="15.75" customHeight="1">
      <c r="A675" s="221"/>
      <c r="B675" s="220"/>
      <c r="C675" s="220"/>
      <c r="D675" s="220"/>
      <c r="E675" s="220"/>
      <c r="F675" s="220"/>
      <c r="G675" s="220"/>
      <c r="H675" s="222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220"/>
      <c r="AJ675" s="220"/>
    </row>
    <row r="676" spans="1:36" ht="15.75" customHeight="1">
      <c r="A676" s="221"/>
      <c r="B676" s="220"/>
      <c r="C676" s="220"/>
      <c r="D676" s="220"/>
      <c r="E676" s="220"/>
      <c r="F676" s="220"/>
      <c r="G676" s="220"/>
      <c r="H676" s="222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220"/>
      <c r="AJ676" s="220"/>
    </row>
    <row r="677" spans="1:36" ht="15.75" customHeight="1">
      <c r="A677" s="221"/>
      <c r="B677" s="220"/>
      <c r="C677" s="220"/>
      <c r="D677" s="220"/>
      <c r="E677" s="220"/>
      <c r="F677" s="220"/>
      <c r="G677" s="220"/>
      <c r="H677" s="222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220"/>
      <c r="AJ677" s="220"/>
    </row>
    <row r="678" spans="1:36" ht="15.75" customHeight="1">
      <c r="A678" s="221"/>
      <c r="B678" s="220"/>
      <c r="C678" s="220"/>
      <c r="D678" s="220"/>
      <c r="E678" s="220"/>
      <c r="F678" s="220"/>
      <c r="G678" s="220"/>
      <c r="H678" s="222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220"/>
      <c r="AJ678" s="220"/>
    </row>
    <row r="679" spans="1:36" ht="15.75" customHeight="1">
      <c r="A679" s="221"/>
      <c r="B679" s="220"/>
      <c r="C679" s="220"/>
      <c r="D679" s="220"/>
      <c r="E679" s="220"/>
      <c r="F679" s="220"/>
      <c r="G679" s="220"/>
      <c r="H679" s="222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220"/>
      <c r="AJ679" s="220"/>
    </row>
    <row r="680" spans="1:36" ht="15.75" customHeight="1">
      <c r="A680" s="221"/>
      <c r="B680" s="220"/>
      <c r="C680" s="220"/>
      <c r="D680" s="220"/>
      <c r="E680" s="220"/>
      <c r="F680" s="220"/>
      <c r="G680" s="220"/>
      <c r="H680" s="222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220"/>
      <c r="AJ680" s="220"/>
    </row>
    <row r="681" spans="1:36" ht="15.75" customHeight="1">
      <c r="A681" s="221"/>
      <c r="B681" s="220"/>
      <c r="C681" s="220"/>
      <c r="D681" s="220"/>
      <c r="E681" s="220"/>
      <c r="F681" s="220"/>
      <c r="G681" s="220"/>
      <c r="H681" s="222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220"/>
      <c r="AJ681" s="220"/>
    </row>
    <row r="682" spans="1:36" ht="15.75" customHeight="1">
      <c r="A682" s="221"/>
      <c r="B682" s="220"/>
      <c r="C682" s="220"/>
      <c r="D682" s="220"/>
      <c r="E682" s="220"/>
      <c r="F682" s="220"/>
      <c r="G682" s="220"/>
      <c r="H682" s="222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220"/>
      <c r="AJ682" s="220"/>
    </row>
    <row r="683" spans="1:36" ht="15.75" customHeight="1">
      <c r="A683" s="221"/>
      <c r="B683" s="220"/>
      <c r="C683" s="220"/>
      <c r="D683" s="220"/>
      <c r="E683" s="220"/>
      <c r="F683" s="220"/>
      <c r="G683" s="220"/>
      <c r="H683" s="222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220"/>
      <c r="AJ683" s="220"/>
    </row>
    <row r="684" spans="1:36" ht="15.75" customHeight="1">
      <c r="A684" s="221"/>
      <c r="B684" s="220"/>
      <c r="C684" s="220"/>
      <c r="D684" s="220"/>
      <c r="E684" s="220"/>
      <c r="F684" s="220"/>
      <c r="G684" s="220"/>
      <c r="H684" s="222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220"/>
      <c r="AJ684" s="220"/>
    </row>
    <row r="685" spans="1:36" ht="15.75" customHeight="1">
      <c r="A685" s="221"/>
      <c r="B685" s="220"/>
      <c r="C685" s="220"/>
      <c r="D685" s="220"/>
      <c r="E685" s="220"/>
      <c r="F685" s="220"/>
      <c r="G685" s="220"/>
      <c r="H685" s="222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220"/>
      <c r="AJ685" s="220"/>
    </row>
    <row r="686" spans="1:36" ht="15.75" customHeight="1">
      <c r="A686" s="221"/>
      <c r="B686" s="220"/>
      <c r="C686" s="220"/>
      <c r="D686" s="220"/>
      <c r="E686" s="220"/>
      <c r="F686" s="220"/>
      <c r="G686" s="220"/>
      <c r="H686" s="222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220"/>
      <c r="AJ686" s="220"/>
    </row>
    <row r="687" spans="1:36" ht="15.75" customHeight="1">
      <c r="A687" s="221"/>
      <c r="B687" s="220"/>
      <c r="C687" s="220"/>
      <c r="D687" s="220"/>
      <c r="E687" s="220"/>
      <c r="F687" s="220"/>
      <c r="G687" s="220"/>
      <c r="H687" s="222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220"/>
      <c r="AJ687" s="220"/>
    </row>
    <row r="688" spans="1:36" ht="15.75" customHeight="1">
      <c r="A688" s="221"/>
      <c r="B688" s="220"/>
      <c r="C688" s="220"/>
      <c r="D688" s="220"/>
      <c r="E688" s="220"/>
      <c r="F688" s="220"/>
      <c r="G688" s="220"/>
      <c r="H688" s="222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220"/>
      <c r="AJ688" s="220"/>
    </row>
    <row r="689" spans="1:36" ht="15.75" customHeight="1">
      <c r="A689" s="221"/>
      <c r="B689" s="220"/>
      <c r="C689" s="220"/>
      <c r="D689" s="220"/>
      <c r="E689" s="220"/>
      <c r="F689" s="220"/>
      <c r="G689" s="220"/>
      <c r="H689" s="222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220"/>
      <c r="AJ689" s="220"/>
    </row>
    <row r="690" spans="1:36" ht="15.75" customHeight="1">
      <c r="A690" s="221"/>
      <c r="B690" s="220"/>
      <c r="C690" s="220"/>
      <c r="D690" s="220"/>
      <c r="E690" s="220"/>
      <c r="F690" s="220"/>
      <c r="G690" s="220"/>
      <c r="H690" s="222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220"/>
      <c r="AJ690" s="220"/>
    </row>
    <row r="691" spans="1:36" ht="15.75" customHeight="1">
      <c r="A691" s="221"/>
      <c r="B691" s="220"/>
      <c r="C691" s="220"/>
      <c r="D691" s="220"/>
      <c r="E691" s="220"/>
      <c r="F691" s="220"/>
      <c r="G691" s="220"/>
      <c r="H691" s="222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220"/>
      <c r="AJ691" s="220"/>
    </row>
    <row r="692" spans="1:36" ht="15.75" customHeight="1">
      <c r="A692" s="221"/>
      <c r="B692" s="220"/>
      <c r="C692" s="220"/>
      <c r="D692" s="220"/>
      <c r="E692" s="220"/>
      <c r="F692" s="220"/>
      <c r="G692" s="220"/>
      <c r="H692" s="222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220"/>
      <c r="AJ692" s="220"/>
    </row>
    <row r="693" spans="1:36" ht="15.75" customHeight="1">
      <c r="A693" s="221"/>
      <c r="B693" s="220"/>
      <c r="C693" s="220"/>
      <c r="D693" s="220"/>
      <c r="E693" s="220"/>
      <c r="F693" s="220"/>
      <c r="G693" s="220"/>
      <c r="H693" s="222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220"/>
      <c r="AJ693" s="220"/>
    </row>
    <row r="694" spans="1:36" ht="15.75" customHeight="1">
      <c r="A694" s="221"/>
      <c r="B694" s="220"/>
      <c r="C694" s="220"/>
      <c r="D694" s="220"/>
      <c r="E694" s="220"/>
      <c r="F694" s="220"/>
      <c r="G694" s="220"/>
      <c r="H694" s="222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220"/>
      <c r="AJ694" s="220"/>
    </row>
    <row r="695" spans="1:36" ht="15.75" customHeight="1">
      <c r="A695" s="221"/>
      <c r="B695" s="220"/>
      <c r="C695" s="220"/>
      <c r="D695" s="220"/>
      <c r="E695" s="220"/>
      <c r="F695" s="220"/>
      <c r="G695" s="220"/>
      <c r="H695" s="222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220"/>
      <c r="AJ695" s="220"/>
    </row>
    <row r="696" spans="1:36" ht="15.75" customHeight="1">
      <c r="A696" s="221"/>
      <c r="B696" s="220"/>
      <c r="C696" s="220"/>
      <c r="D696" s="220"/>
      <c r="E696" s="220"/>
      <c r="F696" s="220"/>
      <c r="G696" s="220"/>
      <c r="H696" s="222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220"/>
      <c r="AJ696" s="220"/>
    </row>
    <row r="697" spans="1:36" ht="15.75" customHeight="1">
      <c r="A697" s="221"/>
      <c r="B697" s="220"/>
      <c r="C697" s="220"/>
      <c r="D697" s="220"/>
      <c r="E697" s="220"/>
      <c r="F697" s="220"/>
      <c r="G697" s="220"/>
      <c r="H697" s="222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220"/>
      <c r="AJ697" s="220"/>
    </row>
    <row r="698" spans="1:36" ht="15.75" customHeight="1">
      <c r="A698" s="221"/>
      <c r="B698" s="220"/>
      <c r="C698" s="220"/>
      <c r="D698" s="220"/>
      <c r="E698" s="220"/>
      <c r="F698" s="220"/>
      <c r="G698" s="220"/>
      <c r="H698" s="222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220"/>
      <c r="AJ698" s="220"/>
    </row>
    <row r="699" spans="1:36" ht="15.75" customHeight="1">
      <c r="A699" s="221"/>
      <c r="B699" s="220"/>
      <c r="C699" s="220"/>
      <c r="D699" s="220"/>
      <c r="E699" s="220"/>
      <c r="F699" s="220"/>
      <c r="G699" s="220"/>
      <c r="H699" s="222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220"/>
      <c r="AJ699" s="220"/>
    </row>
    <row r="700" spans="1:36" ht="15.75" customHeight="1">
      <c r="A700" s="221"/>
      <c r="B700" s="220"/>
      <c r="C700" s="220"/>
      <c r="D700" s="220"/>
      <c r="E700" s="220"/>
      <c r="F700" s="220"/>
      <c r="G700" s="220"/>
      <c r="H700" s="222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220"/>
      <c r="AJ700" s="220"/>
    </row>
    <row r="701" spans="1:36" ht="15.75" customHeight="1">
      <c r="A701" s="221"/>
      <c r="B701" s="220"/>
      <c r="C701" s="220"/>
      <c r="D701" s="220"/>
      <c r="E701" s="220"/>
      <c r="F701" s="220"/>
      <c r="G701" s="220"/>
      <c r="H701" s="222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220"/>
      <c r="AJ701" s="220"/>
    </row>
    <row r="702" spans="1:36" ht="15.75" customHeight="1">
      <c r="A702" s="221"/>
      <c r="B702" s="220"/>
      <c r="C702" s="220"/>
      <c r="D702" s="220"/>
      <c r="E702" s="220"/>
      <c r="F702" s="220"/>
      <c r="G702" s="220"/>
      <c r="H702" s="222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220"/>
      <c r="AJ702" s="220"/>
    </row>
    <row r="703" spans="1:36" ht="15.75" customHeight="1">
      <c r="A703" s="221"/>
      <c r="B703" s="220"/>
      <c r="C703" s="220"/>
      <c r="D703" s="220"/>
      <c r="E703" s="220"/>
      <c r="F703" s="220"/>
      <c r="G703" s="220"/>
      <c r="H703" s="222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220"/>
      <c r="AJ703" s="220"/>
    </row>
    <row r="704" spans="1:36" ht="15.75" customHeight="1">
      <c r="A704" s="221"/>
      <c r="B704" s="220"/>
      <c r="C704" s="220"/>
      <c r="D704" s="220"/>
      <c r="E704" s="220"/>
      <c r="F704" s="220"/>
      <c r="G704" s="220"/>
      <c r="H704" s="222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220"/>
      <c r="AJ704" s="220"/>
    </row>
    <row r="705" spans="1:36" ht="15.75" customHeight="1">
      <c r="A705" s="221"/>
      <c r="B705" s="220"/>
      <c r="C705" s="220"/>
      <c r="D705" s="220"/>
      <c r="E705" s="220"/>
      <c r="F705" s="220"/>
      <c r="G705" s="220"/>
      <c r="H705" s="222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220"/>
      <c r="AJ705" s="220"/>
    </row>
    <row r="706" spans="1:36" ht="15.75" customHeight="1">
      <c r="A706" s="221"/>
      <c r="B706" s="220"/>
      <c r="C706" s="220"/>
      <c r="D706" s="220"/>
      <c r="E706" s="220"/>
      <c r="F706" s="220"/>
      <c r="G706" s="220"/>
      <c r="H706" s="222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220"/>
      <c r="AJ706" s="220"/>
    </row>
    <row r="707" spans="1:36" ht="15.75" customHeight="1">
      <c r="A707" s="221"/>
      <c r="B707" s="220"/>
      <c r="C707" s="220"/>
      <c r="D707" s="220"/>
      <c r="E707" s="220"/>
      <c r="F707" s="220"/>
      <c r="G707" s="220"/>
      <c r="H707" s="222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220"/>
      <c r="AJ707" s="220"/>
    </row>
    <row r="708" spans="1:36" ht="15.75" customHeight="1">
      <c r="A708" s="221"/>
      <c r="B708" s="220"/>
      <c r="C708" s="220"/>
      <c r="D708" s="220"/>
      <c r="E708" s="220"/>
      <c r="F708" s="220"/>
      <c r="G708" s="220"/>
      <c r="H708" s="222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220"/>
      <c r="AJ708" s="220"/>
    </row>
    <row r="709" spans="1:36" ht="15.75" customHeight="1">
      <c r="A709" s="221"/>
      <c r="B709" s="220"/>
      <c r="C709" s="220"/>
      <c r="D709" s="220"/>
      <c r="E709" s="220"/>
      <c r="F709" s="220"/>
      <c r="G709" s="220"/>
      <c r="H709" s="222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220"/>
      <c r="AJ709" s="220"/>
    </row>
    <row r="710" spans="1:36" ht="15.75" customHeight="1">
      <c r="A710" s="221"/>
      <c r="B710" s="220"/>
      <c r="C710" s="220"/>
      <c r="D710" s="220"/>
      <c r="E710" s="220"/>
      <c r="F710" s="220"/>
      <c r="G710" s="220"/>
      <c r="H710" s="222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220"/>
      <c r="AJ710" s="220"/>
    </row>
    <row r="711" spans="1:36" ht="15.75" customHeight="1">
      <c r="A711" s="221"/>
      <c r="B711" s="220"/>
      <c r="C711" s="220"/>
      <c r="D711" s="220"/>
      <c r="E711" s="220"/>
      <c r="F711" s="220"/>
      <c r="G711" s="220"/>
      <c r="H711" s="222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220"/>
      <c r="AJ711" s="220"/>
    </row>
    <row r="712" spans="1:36" ht="15.75" customHeight="1">
      <c r="A712" s="221"/>
      <c r="B712" s="220"/>
      <c r="C712" s="220"/>
      <c r="D712" s="220"/>
      <c r="E712" s="220"/>
      <c r="F712" s="220"/>
      <c r="G712" s="220"/>
      <c r="H712" s="222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220"/>
      <c r="AJ712" s="220"/>
    </row>
    <row r="713" spans="1:36" ht="15.75" customHeight="1">
      <c r="A713" s="221"/>
      <c r="B713" s="220"/>
      <c r="C713" s="220"/>
      <c r="D713" s="220"/>
      <c r="E713" s="220"/>
      <c r="F713" s="220"/>
      <c r="G713" s="220"/>
      <c r="H713" s="222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220"/>
      <c r="AJ713" s="220"/>
    </row>
    <row r="714" spans="1:36" ht="15.75" customHeight="1">
      <c r="A714" s="221"/>
      <c r="B714" s="220"/>
      <c r="C714" s="220"/>
      <c r="D714" s="220"/>
      <c r="E714" s="220"/>
      <c r="F714" s="220"/>
      <c r="G714" s="220"/>
      <c r="H714" s="222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220"/>
      <c r="AJ714" s="220"/>
    </row>
    <row r="715" spans="1:36" ht="15.75" customHeight="1">
      <c r="A715" s="221"/>
      <c r="B715" s="220"/>
      <c r="C715" s="220"/>
      <c r="D715" s="220"/>
      <c r="E715" s="220"/>
      <c r="F715" s="220"/>
      <c r="G715" s="220"/>
      <c r="H715" s="222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220"/>
      <c r="AJ715" s="220"/>
    </row>
    <row r="716" spans="1:36" ht="15.75" customHeight="1">
      <c r="A716" s="221"/>
      <c r="B716" s="220"/>
      <c r="C716" s="220"/>
      <c r="D716" s="220"/>
      <c r="E716" s="220"/>
      <c r="F716" s="220"/>
      <c r="G716" s="220"/>
      <c r="H716" s="222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220"/>
      <c r="AJ716" s="220"/>
    </row>
    <row r="717" spans="1:36" ht="15.75" customHeight="1">
      <c r="A717" s="221"/>
      <c r="B717" s="220"/>
      <c r="C717" s="220"/>
      <c r="D717" s="220"/>
      <c r="E717" s="220"/>
      <c r="F717" s="220"/>
      <c r="G717" s="220"/>
      <c r="H717" s="222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220"/>
      <c r="AJ717" s="220"/>
    </row>
    <row r="718" spans="1:36" ht="15.75" customHeight="1">
      <c r="A718" s="221"/>
      <c r="B718" s="220"/>
      <c r="C718" s="220"/>
      <c r="D718" s="220"/>
      <c r="E718" s="220"/>
      <c r="F718" s="220"/>
      <c r="G718" s="220"/>
      <c r="H718" s="222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220"/>
      <c r="AJ718" s="220"/>
    </row>
    <row r="719" spans="1:36" ht="15.75" customHeight="1">
      <c r="A719" s="221"/>
      <c r="B719" s="220"/>
      <c r="C719" s="220"/>
      <c r="D719" s="220"/>
      <c r="E719" s="220"/>
      <c r="F719" s="220"/>
      <c r="G719" s="220"/>
      <c r="H719" s="222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220"/>
      <c r="AJ719" s="220"/>
    </row>
    <row r="720" spans="1:36" ht="15.75" customHeight="1">
      <c r="A720" s="221"/>
      <c r="B720" s="220"/>
      <c r="C720" s="220"/>
      <c r="D720" s="220"/>
      <c r="E720" s="220"/>
      <c r="F720" s="220"/>
      <c r="G720" s="220"/>
      <c r="H720" s="222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220"/>
      <c r="AJ720" s="220"/>
    </row>
    <row r="721" spans="1:36" ht="15.75" customHeight="1">
      <c r="A721" s="221"/>
      <c r="B721" s="220"/>
      <c r="C721" s="220"/>
      <c r="D721" s="220"/>
      <c r="E721" s="220"/>
      <c r="F721" s="220"/>
      <c r="G721" s="220"/>
      <c r="H721" s="222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220"/>
      <c r="AJ721" s="220"/>
    </row>
    <row r="722" spans="1:36" ht="15.75" customHeight="1">
      <c r="A722" s="221"/>
      <c r="B722" s="220"/>
      <c r="C722" s="220"/>
      <c r="D722" s="220"/>
      <c r="E722" s="220"/>
      <c r="F722" s="220"/>
      <c r="G722" s="220"/>
      <c r="H722" s="222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220"/>
      <c r="AJ722" s="220"/>
    </row>
    <row r="723" spans="1:36" ht="15.75" customHeight="1">
      <c r="A723" s="221"/>
      <c r="B723" s="220"/>
      <c r="C723" s="220"/>
      <c r="D723" s="220"/>
      <c r="E723" s="220"/>
      <c r="F723" s="220"/>
      <c r="G723" s="220"/>
      <c r="H723" s="222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220"/>
      <c r="AJ723" s="220"/>
    </row>
    <row r="724" spans="1:36" ht="15.75" customHeight="1">
      <c r="A724" s="221"/>
      <c r="B724" s="220"/>
      <c r="C724" s="220"/>
      <c r="D724" s="220"/>
      <c r="E724" s="220"/>
      <c r="F724" s="220"/>
      <c r="G724" s="220"/>
      <c r="H724" s="222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220"/>
      <c r="AJ724" s="220"/>
    </row>
    <row r="725" spans="1:36" ht="15.75" customHeight="1">
      <c r="A725" s="221"/>
      <c r="B725" s="220"/>
      <c r="C725" s="220"/>
      <c r="D725" s="220"/>
      <c r="E725" s="220"/>
      <c r="F725" s="220"/>
      <c r="G725" s="220"/>
      <c r="H725" s="222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220"/>
      <c r="AJ725" s="220"/>
    </row>
    <row r="726" spans="1:36" ht="15.75" customHeight="1">
      <c r="A726" s="221"/>
      <c r="B726" s="220"/>
      <c r="C726" s="220"/>
      <c r="D726" s="220"/>
      <c r="E726" s="220"/>
      <c r="F726" s="220"/>
      <c r="G726" s="220"/>
      <c r="H726" s="222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220"/>
      <c r="AJ726" s="220"/>
    </row>
    <row r="727" spans="1:36" ht="15.75" customHeight="1">
      <c r="A727" s="221"/>
      <c r="B727" s="220"/>
      <c r="C727" s="220"/>
      <c r="D727" s="220"/>
      <c r="E727" s="220"/>
      <c r="F727" s="220"/>
      <c r="G727" s="220"/>
      <c r="H727" s="222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220"/>
      <c r="AJ727" s="220"/>
    </row>
    <row r="728" spans="1:36" ht="15.75" customHeight="1">
      <c r="A728" s="221"/>
      <c r="B728" s="220"/>
      <c r="C728" s="220"/>
      <c r="D728" s="220"/>
      <c r="E728" s="220"/>
      <c r="F728" s="220"/>
      <c r="G728" s="220"/>
      <c r="H728" s="222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220"/>
      <c r="AJ728" s="220"/>
    </row>
    <row r="729" spans="1:36" ht="15.75" customHeight="1">
      <c r="A729" s="221"/>
      <c r="B729" s="220"/>
      <c r="C729" s="220"/>
      <c r="D729" s="220"/>
      <c r="E729" s="220"/>
      <c r="F729" s="220"/>
      <c r="G729" s="220"/>
      <c r="H729" s="222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220"/>
      <c r="AJ729" s="220"/>
    </row>
    <row r="730" spans="1:36" ht="15.75" customHeight="1">
      <c r="A730" s="221"/>
      <c r="B730" s="220"/>
      <c r="C730" s="220"/>
      <c r="D730" s="220"/>
      <c r="E730" s="220"/>
      <c r="F730" s="220"/>
      <c r="G730" s="220"/>
      <c r="H730" s="222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220"/>
      <c r="AJ730" s="220"/>
    </row>
    <row r="731" spans="1:36" ht="15.75" customHeight="1">
      <c r="A731" s="221"/>
      <c r="B731" s="220"/>
      <c r="C731" s="220"/>
      <c r="D731" s="220"/>
      <c r="E731" s="220"/>
      <c r="F731" s="220"/>
      <c r="G731" s="220"/>
      <c r="H731" s="222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220"/>
      <c r="AJ731" s="220"/>
    </row>
    <row r="732" spans="1:36" ht="15.75" customHeight="1">
      <c r="A732" s="221"/>
      <c r="B732" s="220"/>
      <c r="C732" s="220"/>
      <c r="D732" s="220"/>
      <c r="E732" s="220"/>
      <c r="F732" s="220"/>
      <c r="G732" s="220"/>
      <c r="H732" s="222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220"/>
      <c r="AJ732" s="220"/>
    </row>
    <row r="733" spans="1:36" ht="15.75" customHeight="1">
      <c r="A733" s="221"/>
      <c r="B733" s="220"/>
      <c r="C733" s="220"/>
      <c r="D733" s="220"/>
      <c r="E733" s="220"/>
      <c r="F733" s="220"/>
      <c r="G733" s="220"/>
      <c r="H733" s="222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220"/>
      <c r="AJ733" s="220"/>
    </row>
    <row r="734" spans="1:36" ht="15.75" customHeight="1">
      <c r="A734" s="221"/>
      <c r="B734" s="220"/>
      <c r="C734" s="220"/>
      <c r="D734" s="220"/>
      <c r="E734" s="220"/>
      <c r="F734" s="220"/>
      <c r="G734" s="220"/>
      <c r="H734" s="222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220"/>
      <c r="AJ734" s="220"/>
    </row>
    <row r="735" spans="1:36" ht="15.75" customHeight="1">
      <c r="A735" s="221"/>
      <c r="B735" s="220"/>
      <c r="C735" s="220"/>
      <c r="D735" s="220"/>
      <c r="E735" s="220"/>
      <c r="F735" s="220"/>
      <c r="G735" s="220"/>
      <c r="H735" s="222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220"/>
      <c r="AJ735" s="220"/>
    </row>
    <row r="736" spans="1:36" ht="15.75" customHeight="1">
      <c r="A736" s="221"/>
      <c r="B736" s="220"/>
      <c r="C736" s="220"/>
      <c r="D736" s="220"/>
      <c r="E736" s="220"/>
      <c r="F736" s="220"/>
      <c r="G736" s="220"/>
      <c r="H736" s="222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220"/>
      <c r="AJ736" s="220"/>
    </row>
    <row r="737" spans="1:36" ht="15.75" customHeight="1">
      <c r="A737" s="221"/>
      <c r="B737" s="220"/>
      <c r="C737" s="220"/>
      <c r="D737" s="220"/>
      <c r="E737" s="220"/>
      <c r="F737" s="220"/>
      <c r="G737" s="220"/>
      <c r="H737" s="222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220"/>
      <c r="AJ737" s="220"/>
    </row>
    <row r="738" spans="1:36" ht="15.75" customHeight="1">
      <c r="A738" s="221"/>
      <c r="B738" s="220"/>
      <c r="C738" s="220"/>
      <c r="D738" s="220"/>
      <c r="E738" s="220"/>
      <c r="F738" s="220"/>
      <c r="G738" s="220"/>
      <c r="H738" s="222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220"/>
      <c r="AJ738" s="220"/>
    </row>
    <row r="739" spans="1:36" ht="15.75" customHeight="1">
      <c r="A739" s="221"/>
      <c r="B739" s="220"/>
      <c r="C739" s="220"/>
      <c r="D739" s="220"/>
      <c r="E739" s="220"/>
      <c r="F739" s="220"/>
      <c r="G739" s="220"/>
      <c r="H739" s="222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0"/>
      <c r="AJ739" s="220"/>
    </row>
    <row r="740" spans="1:36" ht="15.75" customHeight="1">
      <c r="A740" s="221"/>
      <c r="B740" s="220"/>
      <c r="C740" s="220"/>
      <c r="D740" s="220"/>
      <c r="E740" s="220"/>
      <c r="F740" s="220"/>
      <c r="G740" s="220"/>
      <c r="H740" s="222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220"/>
      <c r="AJ740" s="220"/>
    </row>
    <row r="741" spans="1:36" ht="15.75" customHeight="1">
      <c r="A741" s="221"/>
      <c r="B741" s="220"/>
      <c r="C741" s="220"/>
      <c r="D741" s="220"/>
      <c r="E741" s="220"/>
      <c r="F741" s="220"/>
      <c r="G741" s="220"/>
      <c r="H741" s="222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220"/>
      <c r="AJ741" s="220"/>
    </row>
    <row r="742" spans="1:36" ht="15.75" customHeight="1">
      <c r="A742" s="221"/>
      <c r="B742" s="220"/>
      <c r="C742" s="220"/>
      <c r="D742" s="220"/>
      <c r="E742" s="220"/>
      <c r="F742" s="220"/>
      <c r="G742" s="220"/>
      <c r="H742" s="222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220"/>
      <c r="AJ742" s="220"/>
    </row>
    <row r="743" spans="1:36" ht="15.75" customHeight="1">
      <c r="A743" s="221"/>
      <c r="B743" s="220"/>
      <c r="C743" s="220"/>
      <c r="D743" s="220"/>
      <c r="E743" s="220"/>
      <c r="F743" s="220"/>
      <c r="G743" s="220"/>
      <c r="H743" s="222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220"/>
      <c r="AJ743" s="220"/>
    </row>
    <row r="744" spans="1:36" ht="15.75" customHeight="1">
      <c r="A744" s="221"/>
      <c r="B744" s="220"/>
      <c r="C744" s="220"/>
      <c r="D744" s="220"/>
      <c r="E744" s="220"/>
      <c r="F744" s="220"/>
      <c r="G744" s="220"/>
      <c r="H744" s="222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220"/>
      <c r="AJ744" s="220"/>
    </row>
    <row r="745" spans="1:36" ht="15.75" customHeight="1">
      <c r="A745" s="221"/>
      <c r="B745" s="220"/>
      <c r="C745" s="220"/>
      <c r="D745" s="220"/>
      <c r="E745" s="220"/>
      <c r="F745" s="220"/>
      <c r="G745" s="220"/>
      <c r="H745" s="222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220"/>
      <c r="AJ745" s="220"/>
    </row>
    <row r="746" spans="1:36" ht="15.75" customHeight="1">
      <c r="A746" s="221"/>
      <c r="B746" s="220"/>
      <c r="C746" s="220"/>
      <c r="D746" s="220"/>
      <c r="E746" s="220"/>
      <c r="F746" s="220"/>
      <c r="G746" s="220"/>
      <c r="H746" s="222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220"/>
      <c r="AJ746" s="220"/>
    </row>
    <row r="747" spans="1:36" ht="15.75" customHeight="1">
      <c r="A747" s="221"/>
      <c r="B747" s="220"/>
      <c r="C747" s="220"/>
      <c r="D747" s="220"/>
      <c r="E747" s="220"/>
      <c r="F747" s="220"/>
      <c r="G747" s="220"/>
      <c r="H747" s="222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220"/>
      <c r="AJ747" s="220"/>
    </row>
    <row r="748" spans="1:36" ht="15.75" customHeight="1">
      <c r="A748" s="221"/>
      <c r="B748" s="220"/>
      <c r="C748" s="220"/>
      <c r="D748" s="220"/>
      <c r="E748" s="220"/>
      <c r="F748" s="220"/>
      <c r="G748" s="220"/>
      <c r="H748" s="222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220"/>
      <c r="AJ748" s="220"/>
    </row>
    <row r="749" spans="1:36" ht="15.75" customHeight="1">
      <c r="A749" s="221"/>
      <c r="B749" s="220"/>
      <c r="C749" s="220"/>
      <c r="D749" s="220"/>
      <c r="E749" s="220"/>
      <c r="F749" s="220"/>
      <c r="G749" s="220"/>
      <c r="H749" s="222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220"/>
      <c r="AJ749" s="220"/>
    </row>
    <row r="750" spans="1:36" ht="15.75" customHeight="1">
      <c r="A750" s="221"/>
      <c r="B750" s="220"/>
      <c r="C750" s="220"/>
      <c r="D750" s="220"/>
      <c r="E750" s="220"/>
      <c r="F750" s="220"/>
      <c r="G750" s="220"/>
      <c r="H750" s="222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220"/>
      <c r="AJ750" s="220"/>
    </row>
    <row r="751" spans="1:36" ht="15.75" customHeight="1">
      <c r="A751" s="221"/>
      <c r="B751" s="220"/>
      <c r="C751" s="220"/>
      <c r="D751" s="220"/>
      <c r="E751" s="220"/>
      <c r="F751" s="220"/>
      <c r="G751" s="220"/>
      <c r="H751" s="222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220"/>
      <c r="AJ751" s="220"/>
    </row>
    <row r="752" spans="1:36" ht="15.75" customHeight="1">
      <c r="A752" s="221"/>
      <c r="B752" s="220"/>
      <c r="C752" s="220"/>
      <c r="D752" s="220"/>
      <c r="E752" s="220"/>
      <c r="F752" s="220"/>
      <c r="G752" s="220"/>
      <c r="H752" s="222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220"/>
      <c r="AJ752" s="220"/>
    </row>
    <row r="753" spans="1:36" ht="15.75" customHeight="1">
      <c r="A753" s="221"/>
      <c r="B753" s="220"/>
      <c r="C753" s="220"/>
      <c r="D753" s="220"/>
      <c r="E753" s="220"/>
      <c r="F753" s="220"/>
      <c r="G753" s="220"/>
      <c r="H753" s="222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220"/>
      <c r="AJ753" s="220"/>
    </row>
    <row r="754" spans="1:36" ht="15.75" customHeight="1">
      <c r="A754" s="221"/>
      <c r="B754" s="220"/>
      <c r="C754" s="220"/>
      <c r="D754" s="220"/>
      <c r="E754" s="220"/>
      <c r="F754" s="220"/>
      <c r="G754" s="220"/>
      <c r="H754" s="222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220"/>
      <c r="AJ754" s="220"/>
    </row>
    <row r="755" spans="1:36" ht="15.75" customHeight="1">
      <c r="A755" s="221"/>
      <c r="B755" s="220"/>
      <c r="C755" s="220"/>
      <c r="D755" s="220"/>
      <c r="E755" s="220"/>
      <c r="F755" s="220"/>
      <c r="G755" s="220"/>
      <c r="H755" s="222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220"/>
      <c r="AJ755" s="220"/>
    </row>
    <row r="756" spans="1:36" ht="15.75" customHeight="1">
      <c r="A756" s="221"/>
      <c r="B756" s="220"/>
      <c r="C756" s="220"/>
      <c r="D756" s="220"/>
      <c r="E756" s="220"/>
      <c r="F756" s="220"/>
      <c r="G756" s="220"/>
      <c r="H756" s="222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220"/>
      <c r="AJ756" s="220"/>
    </row>
    <row r="757" spans="1:36" ht="15.75" customHeight="1">
      <c r="A757" s="221"/>
      <c r="B757" s="220"/>
      <c r="C757" s="220"/>
      <c r="D757" s="220"/>
      <c r="E757" s="220"/>
      <c r="F757" s="220"/>
      <c r="G757" s="220"/>
      <c r="H757" s="222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220"/>
      <c r="AJ757" s="220"/>
    </row>
    <row r="758" spans="1:36" ht="15.75" customHeight="1">
      <c r="A758" s="221"/>
      <c r="B758" s="220"/>
      <c r="C758" s="220"/>
      <c r="D758" s="220"/>
      <c r="E758" s="220"/>
      <c r="F758" s="220"/>
      <c r="G758" s="220"/>
      <c r="H758" s="222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220"/>
      <c r="AJ758" s="220"/>
    </row>
    <row r="759" spans="1:36" ht="15.75" customHeight="1">
      <c r="A759" s="221"/>
      <c r="B759" s="220"/>
      <c r="C759" s="220"/>
      <c r="D759" s="220"/>
      <c r="E759" s="220"/>
      <c r="F759" s="220"/>
      <c r="G759" s="220"/>
      <c r="H759" s="222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220"/>
      <c r="AJ759" s="220"/>
    </row>
    <row r="760" spans="1:36" ht="15.75" customHeight="1">
      <c r="A760" s="221"/>
      <c r="B760" s="220"/>
      <c r="C760" s="220"/>
      <c r="D760" s="220"/>
      <c r="E760" s="220"/>
      <c r="F760" s="220"/>
      <c r="G760" s="220"/>
      <c r="H760" s="222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220"/>
      <c r="AJ760" s="220"/>
    </row>
    <row r="761" spans="1:36" ht="15.75" customHeight="1">
      <c r="A761" s="221"/>
      <c r="B761" s="220"/>
      <c r="C761" s="220"/>
      <c r="D761" s="220"/>
      <c r="E761" s="220"/>
      <c r="F761" s="220"/>
      <c r="G761" s="220"/>
      <c r="H761" s="222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220"/>
      <c r="AJ761" s="220"/>
    </row>
    <row r="762" spans="1:36" ht="15.75" customHeight="1">
      <c r="A762" s="221"/>
      <c r="B762" s="220"/>
      <c r="C762" s="220"/>
      <c r="D762" s="220"/>
      <c r="E762" s="220"/>
      <c r="F762" s="220"/>
      <c r="G762" s="220"/>
      <c r="H762" s="222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220"/>
      <c r="AJ762" s="220"/>
    </row>
    <row r="763" spans="1:36" ht="15.75" customHeight="1">
      <c r="A763" s="221"/>
      <c r="B763" s="220"/>
      <c r="C763" s="220"/>
      <c r="D763" s="220"/>
      <c r="E763" s="220"/>
      <c r="F763" s="220"/>
      <c r="G763" s="220"/>
      <c r="H763" s="222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220"/>
      <c r="AJ763" s="220"/>
    </row>
    <row r="764" spans="1:36" ht="15.75" customHeight="1">
      <c r="A764" s="221"/>
      <c r="B764" s="220"/>
      <c r="C764" s="220"/>
      <c r="D764" s="220"/>
      <c r="E764" s="220"/>
      <c r="F764" s="220"/>
      <c r="G764" s="220"/>
      <c r="H764" s="222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0"/>
      <c r="AJ764" s="220"/>
    </row>
    <row r="765" spans="1:36" ht="15.75" customHeight="1">
      <c r="A765" s="221"/>
      <c r="B765" s="220"/>
      <c r="C765" s="220"/>
      <c r="D765" s="220"/>
      <c r="E765" s="220"/>
      <c r="F765" s="220"/>
      <c r="G765" s="220"/>
      <c r="H765" s="222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220"/>
      <c r="AJ765" s="220"/>
    </row>
    <row r="766" spans="1:36" ht="15.75" customHeight="1">
      <c r="A766" s="221"/>
      <c r="B766" s="220"/>
      <c r="C766" s="220"/>
      <c r="D766" s="220"/>
      <c r="E766" s="220"/>
      <c r="F766" s="220"/>
      <c r="G766" s="220"/>
      <c r="H766" s="222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0"/>
      <c r="AJ766" s="220"/>
    </row>
    <row r="767" spans="1:36" ht="15.75" customHeight="1">
      <c r="A767" s="221"/>
      <c r="B767" s="220"/>
      <c r="C767" s="220"/>
      <c r="D767" s="220"/>
      <c r="E767" s="220"/>
      <c r="F767" s="220"/>
      <c r="G767" s="220"/>
      <c r="H767" s="222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220"/>
      <c r="AJ767" s="220"/>
    </row>
    <row r="768" spans="1:36" ht="15.75" customHeight="1">
      <c r="A768" s="221"/>
      <c r="B768" s="220"/>
      <c r="C768" s="220"/>
      <c r="D768" s="220"/>
      <c r="E768" s="220"/>
      <c r="F768" s="220"/>
      <c r="G768" s="220"/>
      <c r="H768" s="222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220"/>
      <c r="AJ768" s="220"/>
    </row>
    <row r="769" spans="1:36" ht="15.75" customHeight="1">
      <c r="A769" s="221"/>
      <c r="B769" s="220"/>
      <c r="C769" s="220"/>
      <c r="D769" s="220"/>
      <c r="E769" s="220"/>
      <c r="F769" s="220"/>
      <c r="G769" s="220"/>
      <c r="H769" s="222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220"/>
      <c r="AJ769" s="220"/>
    </row>
    <row r="770" spans="1:36" ht="15.75" customHeight="1">
      <c r="A770" s="221"/>
      <c r="B770" s="220"/>
      <c r="C770" s="220"/>
      <c r="D770" s="220"/>
      <c r="E770" s="220"/>
      <c r="F770" s="220"/>
      <c r="G770" s="220"/>
      <c r="H770" s="222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0"/>
      <c r="AJ770" s="220"/>
    </row>
    <row r="771" spans="1:36" ht="15.75" customHeight="1">
      <c r="A771" s="221"/>
      <c r="B771" s="220"/>
      <c r="C771" s="220"/>
      <c r="D771" s="220"/>
      <c r="E771" s="220"/>
      <c r="F771" s="220"/>
      <c r="G771" s="220"/>
      <c r="H771" s="222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220"/>
      <c r="AJ771" s="220"/>
    </row>
    <row r="772" spans="1:36" ht="15.75" customHeight="1">
      <c r="A772" s="221"/>
      <c r="B772" s="220"/>
      <c r="C772" s="220"/>
      <c r="D772" s="220"/>
      <c r="E772" s="220"/>
      <c r="F772" s="220"/>
      <c r="G772" s="220"/>
      <c r="H772" s="222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0"/>
      <c r="AJ772" s="220"/>
    </row>
    <row r="773" spans="1:36" ht="15.75" customHeight="1">
      <c r="A773" s="221"/>
      <c r="B773" s="220"/>
      <c r="C773" s="220"/>
      <c r="D773" s="220"/>
      <c r="E773" s="220"/>
      <c r="F773" s="220"/>
      <c r="G773" s="220"/>
      <c r="H773" s="222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0"/>
      <c r="AJ773" s="220"/>
    </row>
    <row r="774" spans="1:36" ht="15.75" customHeight="1">
      <c r="A774" s="221"/>
      <c r="B774" s="220"/>
      <c r="C774" s="220"/>
      <c r="D774" s="220"/>
      <c r="E774" s="220"/>
      <c r="F774" s="220"/>
      <c r="G774" s="220"/>
      <c r="H774" s="222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0"/>
      <c r="AJ774" s="220"/>
    </row>
    <row r="775" spans="1:36" ht="15.75" customHeight="1">
      <c r="A775" s="221"/>
      <c r="B775" s="220"/>
      <c r="C775" s="220"/>
      <c r="D775" s="220"/>
      <c r="E775" s="220"/>
      <c r="F775" s="220"/>
      <c r="G775" s="220"/>
      <c r="H775" s="222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0"/>
      <c r="AJ775" s="220"/>
    </row>
    <row r="776" spans="1:36" ht="15.75" customHeight="1">
      <c r="A776" s="221"/>
      <c r="B776" s="220"/>
      <c r="C776" s="220"/>
      <c r="D776" s="220"/>
      <c r="E776" s="220"/>
      <c r="F776" s="220"/>
      <c r="G776" s="220"/>
      <c r="H776" s="222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0"/>
      <c r="AJ776" s="220"/>
    </row>
    <row r="777" spans="1:36" ht="15.75" customHeight="1">
      <c r="A777" s="221"/>
      <c r="B777" s="220"/>
      <c r="C777" s="220"/>
      <c r="D777" s="220"/>
      <c r="E777" s="220"/>
      <c r="F777" s="220"/>
      <c r="G777" s="220"/>
      <c r="H777" s="222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0"/>
      <c r="AJ777" s="220"/>
    </row>
    <row r="778" spans="1:36" ht="15.75" customHeight="1">
      <c r="A778" s="221"/>
      <c r="B778" s="220"/>
      <c r="C778" s="220"/>
      <c r="D778" s="220"/>
      <c r="E778" s="220"/>
      <c r="F778" s="220"/>
      <c r="G778" s="220"/>
      <c r="H778" s="222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0"/>
      <c r="AJ778" s="220"/>
    </row>
    <row r="779" spans="1:36" ht="15.75" customHeight="1">
      <c r="A779" s="221"/>
      <c r="B779" s="220"/>
      <c r="C779" s="220"/>
      <c r="D779" s="220"/>
      <c r="E779" s="220"/>
      <c r="F779" s="220"/>
      <c r="G779" s="220"/>
      <c r="H779" s="222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0"/>
      <c r="AJ779" s="220"/>
    </row>
    <row r="780" spans="1:36" ht="15.75" customHeight="1">
      <c r="A780" s="221"/>
      <c r="B780" s="220"/>
      <c r="C780" s="220"/>
      <c r="D780" s="220"/>
      <c r="E780" s="220"/>
      <c r="F780" s="220"/>
      <c r="G780" s="220"/>
      <c r="H780" s="222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0"/>
      <c r="AJ780" s="220"/>
    </row>
    <row r="781" spans="1:36" ht="15.75" customHeight="1">
      <c r="A781" s="221"/>
      <c r="B781" s="220"/>
      <c r="C781" s="220"/>
      <c r="D781" s="220"/>
      <c r="E781" s="220"/>
      <c r="F781" s="220"/>
      <c r="G781" s="220"/>
      <c r="H781" s="222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0"/>
    </row>
    <row r="782" spans="1:36" ht="15.75" customHeight="1">
      <c r="A782" s="221"/>
      <c r="B782" s="220"/>
      <c r="C782" s="220"/>
      <c r="D782" s="220"/>
      <c r="E782" s="220"/>
      <c r="F782" s="220"/>
      <c r="G782" s="220"/>
      <c r="H782" s="222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0"/>
      <c r="AJ782" s="220"/>
    </row>
    <row r="783" spans="1:36" ht="15.75" customHeight="1">
      <c r="A783" s="221"/>
      <c r="B783" s="220"/>
      <c r="C783" s="220"/>
      <c r="D783" s="220"/>
      <c r="E783" s="220"/>
      <c r="F783" s="220"/>
      <c r="G783" s="220"/>
      <c r="H783" s="222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0"/>
      <c r="AJ783" s="220"/>
    </row>
    <row r="784" spans="1:36" ht="15.75" customHeight="1">
      <c r="A784" s="221"/>
      <c r="B784" s="220"/>
      <c r="C784" s="220"/>
      <c r="D784" s="220"/>
      <c r="E784" s="220"/>
      <c r="F784" s="220"/>
      <c r="G784" s="220"/>
      <c r="H784" s="222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0"/>
      <c r="AJ784" s="220"/>
    </row>
    <row r="785" spans="1:36" ht="15.75" customHeight="1">
      <c r="A785" s="221"/>
      <c r="B785" s="220"/>
      <c r="C785" s="220"/>
      <c r="D785" s="220"/>
      <c r="E785" s="220"/>
      <c r="F785" s="220"/>
      <c r="G785" s="220"/>
      <c r="H785" s="222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0"/>
      <c r="AJ785" s="220"/>
    </row>
    <row r="786" spans="1:36" ht="15.75" customHeight="1">
      <c r="A786" s="221"/>
      <c r="B786" s="220"/>
      <c r="C786" s="220"/>
      <c r="D786" s="220"/>
      <c r="E786" s="220"/>
      <c r="F786" s="220"/>
      <c r="G786" s="220"/>
      <c r="H786" s="222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0"/>
      <c r="AJ786" s="220"/>
    </row>
    <row r="787" spans="1:36" ht="15.75" customHeight="1">
      <c r="A787" s="221"/>
      <c r="B787" s="220"/>
      <c r="C787" s="220"/>
      <c r="D787" s="220"/>
      <c r="E787" s="220"/>
      <c r="F787" s="220"/>
      <c r="G787" s="220"/>
      <c r="H787" s="222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0"/>
      <c r="AJ787" s="220"/>
    </row>
    <row r="788" spans="1:36" ht="15.75" customHeight="1">
      <c r="A788" s="221"/>
      <c r="B788" s="220"/>
      <c r="C788" s="220"/>
      <c r="D788" s="220"/>
      <c r="E788" s="220"/>
      <c r="F788" s="220"/>
      <c r="G788" s="220"/>
      <c r="H788" s="222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0"/>
      <c r="AJ788" s="220"/>
    </row>
    <row r="789" spans="1:36" ht="15.75" customHeight="1">
      <c r="A789" s="221"/>
      <c r="B789" s="220"/>
      <c r="C789" s="220"/>
      <c r="D789" s="220"/>
      <c r="E789" s="220"/>
      <c r="F789" s="220"/>
      <c r="G789" s="220"/>
      <c r="H789" s="222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0"/>
      <c r="AJ789" s="220"/>
    </row>
    <row r="790" spans="1:36" ht="15.75" customHeight="1">
      <c r="A790" s="221"/>
      <c r="B790" s="220"/>
      <c r="C790" s="220"/>
      <c r="D790" s="220"/>
      <c r="E790" s="220"/>
      <c r="F790" s="220"/>
      <c r="G790" s="220"/>
      <c r="H790" s="222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0"/>
      <c r="AJ790" s="220"/>
    </row>
    <row r="791" spans="1:36" ht="15.75" customHeight="1">
      <c r="A791" s="221"/>
      <c r="B791" s="220"/>
      <c r="C791" s="220"/>
      <c r="D791" s="220"/>
      <c r="E791" s="220"/>
      <c r="F791" s="220"/>
      <c r="G791" s="220"/>
      <c r="H791" s="222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0"/>
      <c r="AJ791" s="220"/>
    </row>
    <row r="792" spans="1:36" ht="15.75" customHeight="1">
      <c r="A792" s="221"/>
      <c r="B792" s="220"/>
      <c r="C792" s="220"/>
      <c r="D792" s="220"/>
      <c r="E792" s="220"/>
      <c r="F792" s="220"/>
      <c r="G792" s="220"/>
      <c r="H792" s="222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0"/>
      <c r="AJ792" s="220"/>
    </row>
    <row r="793" spans="1:36" ht="15.75" customHeight="1">
      <c r="A793" s="221"/>
      <c r="B793" s="220"/>
      <c r="C793" s="220"/>
      <c r="D793" s="220"/>
      <c r="E793" s="220"/>
      <c r="F793" s="220"/>
      <c r="G793" s="220"/>
      <c r="H793" s="222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0"/>
      <c r="AJ793" s="220"/>
    </row>
    <row r="794" spans="1:36" ht="15.75" customHeight="1">
      <c r="A794" s="221"/>
      <c r="B794" s="220"/>
      <c r="C794" s="220"/>
      <c r="D794" s="220"/>
      <c r="E794" s="220"/>
      <c r="F794" s="220"/>
      <c r="G794" s="220"/>
      <c r="H794" s="222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0"/>
      <c r="AJ794" s="220"/>
    </row>
    <row r="795" spans="1:36" ht="15.75" customHeight="1">
      <c r="A795" s="221"/>
      <c r="B795" s="220"/>
      <c r="C795" s="220"/>
      <c r="D795" s="220"/>
      <c r="E795" s="220"/>
      <c r="F795" s="220"/>
      <c r="G795" s="220"/>
      <c r="H795" s="222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0"/>
      <c r="AJ795" s="220"/>
    </row>
    <row r="796" spans="1:36" ht="15.75" customHeight="1">
      <c r="A796" s="221"/>
      <c r="B796" s="220"/>
      <c r="C796" s="220"/>
      <c r="D796" s="220"/>
      <c r="E796" s="220"/>
      <c r="F796" s="220"/>
      <c r="G796" s="220"/>
      <c r="H796" s="222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0"/>
      <c r="AJ796" s="220"/>
    </row>
    <row r="797" spans="1:36" ht="15.75" customHeight="1">
      <c r="A797" s="221"/>
      <c r="B797" s="220"/>
      <c r="C797" s="220"/>
      <c r="D797" s="220"/>
      <c r="E797" s="220"/>
      <c r="F797" s="220"/>
      <c r="G797" s="220"/>
      <c r="H797" s="222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0"/>
      <c r="AJ797" s="220"/>
    </row>
    <row r="798" spans="1:36" ht="15.75" customHeight="1">
      <c r="A798" s="221"/>
      <c r="B798" s="220"/>
      <c r="C798" s="220"/>
      <c r="D798" s="220"/>
      <c r="E798" s="220"/>
      <c r="F798" s="220"/>
      <c r="G798" s="220"/>
      <c r="H798" s="222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0"/>
      <c r="AJ798" s="220"/>
    </row>
    <row r="799" spans="1:36" ht="15.75" customHeight="1">
      <c r="A799" s="221"/>
      <c r="B799" s="220"/>
      <c r="C799" s="220"/>
      <c r="D799" s="220"/>
      <c r="E799" s="220"/>
      <c r="F799" s="220"/>
      <c r="G799" s="220"/>
      <c r="H799" s="222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0"/>
      <c r="AJ799" s="220"/>
    </row>
    <row r="800" spans="1:36" ht="15.75" customHeight="1">
      <c r="A800" s="221"/>
      <c r="B800" s="220"/>
      <c r="C800" s="220"/>
      <c r="D800" s="220"/>
      <c r="E800" s="220"/>
      <c r="F800" s="220"/>
      <c r="G800" s="220"/>
      <c r="H800" s="222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0"/>
      <c r="AJ800" s="220"/>
    </row>
    <row r="801" spans="1:36" ht="15.75" customHeight="1">
      <c r="A801" s="221"/>
      <c r="B801" s="220"/>
      <c r="C801" s="220"/>
      <c r="D801" s="220"/>
      <c r="E801" s="220"/>
      <c r="F801" s="220"/>
      <c r="G801" s="220"/>
      <c r="H801" s="222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0"/>
      <c r="AJ801" s="220"/>
    </row>
    <row r="802" spans="1:36" ht="15.75" customHeight="1">
      <c r="A802" s="221"/>
      <c r="B802" s="220"/>
      <c r="C802" s="220"/>
      <c r="D802" s="220"/>
      <c r="E802" s="220"/>
      <c r="F802" s="220"/>
      <c r="G802" s="220"/>
      <c r="H802" s="222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0"/>
      <c r="AJ802" s="220"/>
    </row>
    <row r="803" spans="1:36" ht="15.75" customHeight="1">
      <c r="A803" s="221"/>
      <c r="B803" s="220"/>
      <c r="C803" s="220"/>
      <c r="D803" s="220"/>
      <c r="E803" s="220"/>
      <c r="F803" s="220"/>
      <c r="G803" s="220"/>
      <c r="H803" s="222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0"/>
      <c r="AJ803" s="220"/>
    </row>
    <row r="804" spans="1:36" ht="15.75" customHeight="1">
      <c r="A804" s="221"/>
      <c r="B804" s="220"/>
      <c r="C804" s="220"/>
      <c r="D804" s="220"/>
      <c r="E804" s="220"/>
      <c r="F804" s="220"/>
      <c r="G804" s="220"/>
      <c r="H804" s="222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0"/>
      <c r="AJ804" s="220"/>
    </row>
    <row r="805" spans="1:36" ht="15.75" customHeight="1">
      <c r="A805" s="221"/>
      <c r="B805" s="220"/>
      <c r="C805" s="220"/>
      <c r="D805" s="220"/>
      <c r="E805" s="220"/>
      <c r="F805" s="220"/>
      <c r="G805" s="220"/>
      <c r="H805" s="222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0"/>
      <c r="AJ805" s="220"/>
    </row>
    <row r="806" spans="1:36" ht="15.75" customHeight="1">
      <c r="A806" s="221"/>
      <c r="B806" s="220"/>
      <c r="C806" s="220"/>
      <c r="D806" s="220"/>
      <c r="E806" s="220"/>
      <c r="F806" s="220"/>
      <c r="G806" s="220"/>
      <c r="H806" s="222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0"/>
      <c r="AJ806" s="220"/>
    </row>
    <row r="807" spans="1:36" ht="15.75" customHeight="1">
      <c r="A807" s="221"/>
      <c r="B807" s="220"/>
      <c r="C807" s="220"/>
      <c r="D807" s="220"/>
      <c r="E807" s="220"/>
      <c r="F807" s="220"/>
      <c r="G807" s="220"/>
      <c r="H807" s="222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0"/>
      <c r="AJ807" s="220"/>
    </row>
    <row r="808" spans="1:36" ht="15.75" customHeight="1">
      <c r="A808" s="221"/>
      <c r="B808" s="220"/>
      <c r="C808" s="220"/>
      <c r="D808" s="220"/>
      <c r="E808" s="220"/>
      <c r="F808" s="220"/>
      <c r="G808" s="220"/>
      <c r="H808" s="222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0"/>
      <c r="AJ808" s="220"/>
    </row>
    <row r="809" spans="1:36" ht="15.75" customHeight="1">
      <c r="A809" s="221"/>
      <c r="B809" s="220"/>
      <c r="C809" s="220"/>
      <c r="D809" s="220"/>
      <c r="E809" s="220"/>
      <c r="F809" s="220"/>
      <c r="G809" s="220"/>
      <c r="H809" s="222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0"/>
      <c r="AJ809" s="220"/>
    </row>
    <row r="810" spans="1:36" ht="15.75" customHeight="1">
      <c r="A810" s="221"/>
      <c r="B810" s="220"/>
      <c r="C810" s="220"/>
      <c r="D810" s="220"/>
      <c r="E810" s="220"/>
      <c r="F810" s="220"/>
      <c r="G810" s="220"/>
      <c r="H810" s="222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0"/>
      <c r="AJ810" s="220"/>
    </row>
    <row r="811" spans="1:36" ht="15.75" customHeight="1">
      <c r="A811" s="221"/>
      <c r="B811" s="220"/>
      <c r="C811" s="220"/>
      <c r="D811" s="220"/>
      <c r="E811" s="220"/>
      <c r="F811" s="220"/>
      <c r="G811" s="220"/>
      <c r="H811" s="222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0"/>
      <c r="AJ811" s="220"/>
    </row>
    <row r="812" spans="1:36" ht="15.75" customHeight="1">
      <c r="A812" s="221"/>
      <c r="B812" s="220"/>
      <c r="C812" s="220"/>
      <c r="D812" s="220"/>
      <c r="E812" s="220"/>
      <c r="F812" s="220"/>
      <c r="G812" s="220"/>
      <c r="H812" s="222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0"/>
      <c r="AJ812" s="220"/>
    </row>
    <row r="813" spans="1:36" ht="15.75" customHeight="1">
      <c r="A813" s="221"/>
      <c r="B813" s="220"/>
      <c r="C813" s="220"/>
      <c r="D813" s="220"/>
      <c r="E813" s="220"/>
      <c r="F813" s="220"/>
      <c r="G813" s="220"/>
      <c r="H813" s="222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0"/>
      <c r="AJ813" s="220"/>
    </row>
    <row r="814" spans="1:36" ht="15.75" customHeight="1">
      <c r="A814" s="221"/>
      <c r="B814" s="220"/>
      <c r="C814" s="220"/>
      <c r="D814" s="220"/>
      <c r="E814" s="220"/>
      <c r="F814" s="220"/>
      <c r="G814" s="220"/>
      <c r="H814" s="222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0"/>
      <c r="AJ814" s="220"/>
    </row>
    <row r="815" spans="1:36" ht="15.75" customHeight="1">
      <c r="A815" s="221"/>
      <c r="B815" s="220"/>
      <c r="C815" s="220"/>
      <c r="D815" s="220"/>
      <c r="E815" s="220"/>
      <c r="F815" s="220"/>
      <c r="G815" s="220"/>
      <c r="H815" s="222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0"/>
      <c r="AJ815" s="220"/>
    </row>
    <row r="816" spans="1:36" ht="15.75" customHeight="1">
      <c r="A816" s="221"/>
      <c r="B816" s="220"/>
      <c r="C816" s="220"/>
      <c r="D816" s="220"/>
      <c r="E816" s="220"/>
      <c r="F816" s="220"/>
      <c r="G816" s="220"/>
      <c r="H816" s="222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0"/>
      <c r="AJ816" s="220"/>
    </row>
    <row r="817" spans="1:36" ht="15.75" customHeight="1">
      <c r="A817" s="221"/>
      <c r="B817" s="220"/>
      <c r="C817" s="220"/>
      <c r="D817" s="220"/>
      <c r="E817" s="220"/>
      <c r="F817" s="220"/>
      <c r="G817" s="220"/>
      <c r="H817" s="222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0"/>
      <c r="AJ817" s="220"/>
    </row>
    <row r="818" spans="1:36" ht="15.75" customHeight="1">
      <c r="A818" s="221"/>
      <c r="B818" s="220"/>
      <c r="C818" s="220"/>
      <c r="D818" s="220"/>
      <c r="E818" s="220"/>
      <c r="F818" s="220"/>
      <c r="G818" s="220"/>
      <c r="H818" s="222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0"/>
      <c r="AJ818" s="220"/>
    </row>
    <row r="819" spans="1:36" ht="15.75" customHeight="1">
      <c r="A819" s="221"/>
      <c r="B819" s="220"/>
      <c r="C819" s="220"/>
      <c r="D819" s="220"/>
      <c r="E819" s="220"/>
      <c r="F819" s="220"/>
      <c r="G819" s="220"/>
      <c r="H819" s="222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0"/>
      <c r="AJ819" s="220"/>
    </row>
    <row r="820" spans="1:36" ht="15.75" customHeight="1">
      <c r="A820" s="221"/>
      <c r="B820" s="220"/>
      <c r="C820" s="220"/>
      <c r="D820" s="220"/>
      <c r="E820" s="220"/>
      <c r="F820" s="220"/>
      <c r="G820" s="220"/>
      <c r="H820" s="222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0"/>
      <c r="AJ820" s="220"/>
    </row>
    <row r="821" spans="1:36" ht="15.75" customHeight="1">
      <c r="A821" s="221"/>
      <c r="B821" s="220"/>
      <c r="C821" s="220"/>
      <c r="D821" s="220"/>
      <c r="E821" s="220"/>
      <c r="F821" s="220"/>
      <c r="G821" s="220"/>
      <c r="H821" s="222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0"/>
      <c r="AJ821" s="220"/>
    </row>
    <row r="822" spans="1:36" ht="15.75" customHeight="1">
      <c r="A822" s="221"/>
      <c r="B822" s="220"/>
      <c r="C822" s="220"/>
      <c r="D822" s="220"/>
      <c r="E822" s="220"/>
      <c r="F822" s="220"/>
      <c r="G822" s="220"/>
      <c r="H822" s="222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0"/>
      <c r="AJ822" s="220"/>
    </row>
    <row r="823" spans="1:36" ht="15.75" customHeight="1">
      <c r="A823" s="221"/>
      <c r="B823" s="220"/>
      <c r="C823" s="220"/>
      <c r="D823" s="220"/>
      <c r="E823" s="220"/>
      <c r="F823" s="220"/>
      <c r="G823" s="220"/>
      <c r="H823" s="222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0"/>
      <c r="AJ823" s="220"/>
    </row>
    <row r="824" spans="1:36" ht="15.75" customHeight="1">
      <c r="A824" s="221"/>
      <c r="B824" s="220"/>
      <c r="C824" s="220"/>
      <c r="D824" s="220"/>
      <c r="E824" s="220"/>
      <c r="F824" s="220"/>
      <c r="G824" s="220"/>
      <c r="H824" s="222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0"/>
      <c r="AJ824" s="220"/>
    </row>
    <row r="825" spans="1:36" ht="15.75" customHeight="1">
      <c r="A825" s="221"/>
      <c r="B825" s="220"/>
      <c r="C825" s="220"/>
      <c r="D825" s="220"/>
      <c r="E825" s="220"/>
      <c r="F825" s="220"/>
      <c r="G825" s="220"/>
      <c r="H825" s="222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0"/>
      <c r="AJ825" s="220"/>
    </row>
    <row r="826" spans="1:36" ht="15.75" customHeight="1">
      <c r="A826" s="221"/>
      <c r="B826" s="220"/>
      <c r="C826" s="220"/>
      <c r="D826" s="220"/>
      <c r="E826" s="220"/>
      <c r="F826" s="220"/>
      <c r="G826" s="220"/>
      <c r="H826" s="222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0"/>
      <c r="AJ826" s="220"/>
    </row>
    <row r="827" spans="1:36" ht="15.75" customHeight="1">
      <c r="A827" s="221"/>
      <c r="B827" s="220"/>
      <c r="C827" s="220"/>
      <c r="D827" s="220"/>
      <c r="E827" s="220"/>
      <c r="F827" s="220"/>
      <c r="G827" s="220"/>
      <c r="H827" s="222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0"/>
      <c r="AJ827" s="220"/>
    </row>
    <row r="828" spans="1:36" ht="15.75" customHeight="1">
      <c r="A828" s="221"/>
      <c r="B828" s="220"/>
      <c r="C828" s="220"/>
      <c r="D828" s="220"/>
      <c r="E828" s="220"/>
      <c r="F828" s="220"/>
      <c r="G828" s="220"/>
      <c r="H828" s="222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0"/>
      <c r="AJ828" s="220"/>
    </row>
    <row r="829" spans="1:36" ht="15.75" customHeight="1">
      <c r="A829" s="221"/>
      <c r="B829" s="220"/>
      <c r="C829" s="220"/>
      <c r="D829" s="220"/>
      <c r="E829" s="220"/>
      <c r="F829" s="220"/>
      <c r="G829" s="220"/>
      <c r="H829" s="222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0"/>
    </row>
    <row r="830" spans="1:36" ht="15.75" customHeight="1">
      <c r="A830" s="221"/>
      <c r="B830" s="220"/>
      <c r="C830" s="220"/>
      <c r="D830" s="220"/>
      <c r="E830" s="220"/>
      <c r="F830" s="220"/>
      <c r="G830" s="220"/>
      <c r="H830" s="222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0"/>
      <c r="AJ830" s="220"/>
    </row>
    <row r="831" spans="1:36" ht="15.75" customHeight="1">
      <c r="A831" s="221"/>
      <c r="B831" s="220"/>
      <c r="C831" s="220"/>
      <c r="D831" s="220"/>
      <c r="E831" s="220"/>
      <c r="F831" s="220"/>
      <c r="G831" s="220"/>
      <c r="H831" s="222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0"/>
      <c r="AJ831" s="220"/>
    </row>
    <row r="832" spans="1:36" ht="15.75" customHeight="1">
      <c r="A832" s="221"/>
      <c r="B832" s="220"/>
      <c r="C832" s="220"/>
      <c r="D832" s="220"/>
      <c r="E832" s="220"/>
      <c r="F832" s="220"/>
      <c r="G832" s="220"/>
      <c r="H832" s="222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0"/>
      <c r="AJ832" s="220"/>
    </row>
    <row r="833" spans="1:36" ht="15.75" customHeight="1">
      <c r="A833" s="221"/>
      <c r="B833" s="220"/>
      <c r="C833" s="220"/>
      <c r="D833" s="220"/>
      <c r="E833" s="220"/>
      <c r="F833" s="220"/>
      <c r="G833" s="220"/>
      <c r="H833" s="222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0"/>
      <c r="AJ833" s="220"/>
    </row>
    <row r="834" spans="1:36" ht="15.75" customHeight="1">
      <c r="A834" s="221"/>
      <c r="B834" s="220"/>
      <c r="C834" s="220"/>
      <c r="D834" s="220"/>
      <c r="E834" s="220"/>
      <c r="F834" s="220"/>
      <c r="G834" s="220"/>
      <c r="H834" s="222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0"/>
      <c r="AJ834" s="220"/>
    </row>
    <row r="835" spans="1:36" ht="15.75" customHeight="1">
      <c r="A835" s="221"/>
      <c r="B835" s="220"/>
      <c r="C835" s="220"/>
      <c r="D835" s="220"/>
      <c r="E835" s="220"/>
      <c r="F835" s="220"/>
      <c r="G835" s="220"/>
      <c r="H835" s="222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0"/>
      <c r="AJ835" s="220"/>
    </row>
    <row r="836" spans="1:36" ht="15.75" customHeight="1">
      <c r="A836" s="221"/>
      <c r="B836" s="220"/>
      <c r="C836" s="220"/>
      <c r="D836" s="220"/>
      <c r="E836" s="220"/>
      <c r="F836" s="220"/>
      <c r="G836" s="220"/>
      <c r="H836" s="222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0"/>
      <c r="AJ836" s="220"/>
    </row>
    <row r="837" spans="1:36" ht="15.75" customHeight="1">
      <c r="A837" s="221"/>
      <c r="B837" s="220"/>
      <c r="C837" s="220"/>
      <c r="D837" s="220"/>
      <c r="E837" s="220"/>
      <c r="F837" s="220"/>
      <c r="G837" s="220"/>
      <c r="H837" s="222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0"/>
      <c r="AJ837" s="220"/>
    </row>
    <row r="838" spans="1:36" ht="15.75" customHeight="1">
      <c r="A838" s="221"/>
      <c r="B838" s="220"/>
      <c r="C838" s="220"/>
      <c r="D838" s="220"/>
      <c r="E838" s="220"/>
      <c r="F838" s="220"/>
      <c r="G838" s="220"/>
      <c r="H838" s="222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0"/>
      <c r="AJ838" s="220"/>
    </row>
    <row r="839" spans="1:36" ht="15.75" customHeight="1">
      <c r="A839" s="221"/>
      <c r="B839" s="220"/>
      <c r="C839" s="220"/>
      <c r="D839" s="220"/>
      <c r="E839" s="220"/>
      <c r="F839" s="220"/>
      <c r="G839" s="220"/>
      <c r="H839" s="222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0"/>
      <c r="AJ839" s="220"/>
    </row>
    <row r="840" spans="1:36" ht="15.75" customHeight="1">
      <c r="A840" s="221"/>
      <c r="B840" s="220"/>
      <c r="C840" s="220"/>
      <c r="D840" s="220"/>
      <c r="E840" s="220"/>
      <c r="F840" s="220"/>
      <c r="G840" s="220"/>
      <c r="H840" s="222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0"/>
      <c r="AJ840" s="220"/>
    </row>
    <row r="841" spans="1:36" ht="15.75" customHeight="1">
      <c r="A841" s="221"/>
      <c r="B841" s="220"/>
      <c r="C841" s="220"/>
      <c r="D841" s="220"/>
      <c r="E841" s="220"/>
      <c r="F841" s="220"/>
      <c r="G841" s="220"/>
      <c r="H841" s="222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0"/>
      <c r="AJ841" s="220"/>
    </row>
    <row r="842" spans="1:36" ht="15.75" customHeight="1">
      <c r="A842" s="221"/>
      <c r="B842" s="220"/>
      <c r="C842" s="220"/>
      <c r="D842" s="220"/>
      <c r="E842" s="220"/>
      <c r="F842" s="220"/>
      <c r="G842" s="220"/>
      <c r="H842" s="222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0"/>
      <c r="AJ842" s="220"/>
    </row>
    <row r="843" spans="1:36" ht="15.75" customHeight="1">
      <c r="A843" s="221"/>
      <c r="B843" s="220"/>
      <c r="C843" s="220"/>
      <c r="D843" s="220"/>
      <c r="E843" s="220"/>
      <c r="F843" s="220"/>
      <c r="G843" s="220"/>
      <c r="H843" s="222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0"/>
      <c r="AJ843" s="220"/>
    </row>
    <row r="844" spans="1:36" ht="15.75" customHeight="1">
      <c r="A844" s="221"/>
      <c r="B844" s="220"/>
      <c r="C844" s="220"/>
      <c r="D844" s="220"/>
      <c r="E844" s="220"/>
      <c r="F844" s="220"/>
      <c r="G844" s="220"/>
      <c r="H844" s="222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0"/>
      <c r="AJ844" s="220"/>
    </row>
    <row r="845" spans="1:36" ht="15.75" customHeight="1">
      <c r="A845" s="221"/>
      <c r="B845" s="220"/>
      <c r="C845" s="220"/>
      <c r="D845" s="220"/>
      <c r="E845" s="220"/>
      <c r="F845" s="220"/>
      <c r="G845" s="220"/>
      <c r="H845" s="222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0"/>
      <c r="AJ845" s="220"/>
    </row>
    <row r="846" spans="1:36" ht="15.75" customHeight="1">
      <c r="A846" s="221"/>
      <c r="B846" s="220"/>
      <c r="C846" s="220"/>
      <c r="D846" s="220"/>
      <c r="E846" s="220"/>
      <c r="F846" s="220"/>
      <c r="G846" s="220"/>
      <c r="H846" s="222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0"/>
      <c r="AJ846" s="220"/>
    </row>
    <row r="847" spans="1:36" ht="15.75" customHeight="1">
      <c r="A847" s="221"/>
      <c r="B847" s="220"/>
      <c r="C847" s="220"/>
      <c r="D847" s="220"/>
      <c r="E847" s="220"/>
      <c r="F847" s="220"/>
      <c r="G847" s="220"/>
      <c r="H847" s="222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0"/>
      <c r="AJ847" s="220"/>
    </row>
    <row r="848" spans="1:36" ht="15.75" customHeight="1">
      <c r="A848" s="221"/>
      <c r="B848" s="220"/>
      <c r="C848" s="220"/>
      <c r="D848" s="220"/>
      <c r="E848" s="220"/>
      <c r="F848" s="220"/>
      <c r="G848" s="220"/>
      <c r="H848" s="222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0"/>
      <c r="AJ848" s="220"/>
    </row>
    <row r="849" spans="1:36" ht="15.75" customHeight="1">
      <c r="A849" s="221"/>
      <c r="B849" s="220"/>
      <c r="C849" s="220"/>
      <c r="D849" s="220"/>
      <c r="E849" s="220"/>
      <c r="F849" s="220"/>
      <c r="G849" s="220"/>
      <c r="H849" s="222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0"/>
      <c r="AJ849" s="220"/>
    </row>
    <row r="850" spans="1:36" ht="15.75" customHeight="1">
      <c r="A850" s="221"/>
      <c r="B850" s="220"/>
      <c r="C850" s="220"/>
      <c r="D850" s="220"/>
      <c r="E850" s="220"/>
      <c r="F850" s="220"/>
      <c r="G850" s="220"/>
      <c r="H850" s="222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0"/>
      <c r="AJ850" s="220"/>
    </row>
    <row r="851" spans="1:36" ht="15.75" customHeight="1">
      <c r="A851" s="221"/>
      <c r="B851" s="220"/>
      <c r="C851" s="220"/>
      <c r="D851" s="220"/>
      <c r="E851" s="220"/>
      <c r="F851" s="220"/>
      <c r="G851" s="220"/>
      <c r="H851" s="222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0"/>
      <c r="AJ851" s="220"/>
    </row>
    <row r="852" spans="1:36" ht="15.75" customHeight="1">
      <c r="A852" s="221"/>
      <c r="B852" s="220"/>
      <c r="C852" s="220"/>
      <c r="D852" s="220"/>
      <c r="E852" s="220"/>
      <c r="F852" s="220"/>
      <c r="G852" s="220"/>
      <c r="H852" s="222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0"/>
      <c r="AJ852" s="220"/>
    </row>
    <row r="853" spans="1:36" ht="15.75" customHeight="1">
      <c r="A853" s="221"/>
      <c r="B853" s="220"/>
      <c r="C853" s="220"/>
      <c r="D853" s="220"/>
      <c r="E853" s="220"/>
      <c r="F853" s="220"/>
      <c r="G853" s="220"/>
      <c r="H853" s="222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0"/>
      <c r="AJ853" s="220"/>
    </row>
    <row r="854" spans="1:36" ht="15.75" customHeight="1">
      <c r="A854" s="221"/>
      <c r="B854" s="220"/>
      <c r="C854" s="220"/>
      <c r="D854" s="220"/>
      <c r="E854" s="220"/>
      <c r="F854" s="220"/>
      <c r="G854" s="220"/>
      <c r="H854" s="222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0"/>
      <c r="AJ854" s="220"/>
    </row>
    <row r="855" spans="1:36" ht="15.75" customHeight="1">
      <c r="A855" s="221"/>
      <c r="B855" s="220"/>
      <c r="C855" s="220"/>
      <c r="D855" s="220"/>
      <c r="E855" s="220"/>
      <c r="F855" s="220"/>
      <c r="G855" s="220"/>
      <c r="H855" s="222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220"/>
      <c r="AJ855" s="220"/>
    </row>
    <row r="856" spans="1:36" ht="15.75" customHeight="1">
      <c r="A856" s="221"/>
      <c r="B856" s="220"/>
      <c r="C856" s="220"/>
      <c r="D856" s="220"/>
      <c r="E856" s="220"/>
      <c r="F856" s="220"/>
      <c r="G856" s="220"/>
      <c r="H856" s="222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0"/>
      <c r="AJ856" s="220"/>
    </row>
    <row r="857" spans="1:36" ht="15.75" customHeight="1">
      <c r="A857" s="221"/>
      <c r="B857" s="220"/>
      <c r="C857" s="220"/>
      <c r="D857" s="220"/>
      <c r="E857" s="220"/>
      <c r="F857" s="220"/>
      <c r="G857" s="220"/>
      <c r="H857" s="222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0"/>
      <c r="AJ857" s="220"/>
    </row>
    <row r="858" spans="1:36" ht="15.75" customHeight="1">
      <c r="A858" s="221"/>
      <c r="B858" s="220"/>
      <c r="C858" s="220"/>
      <c r="D858" s="220"/>
      <c r="E858" s="220"/>
      <c r="F858" s="220"/>
      <c r="G858" s="220"/>
      <c r="H858" s="222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0"/>
      <c r="AJ858" s="220"/>
    </row>
    <row r="859" spans="1:36" ht="15.75" customHeight="1">
      <c r="A859" s="221"/>
      <c r="B859" s="220"/>
      <c r="C859" s="220"/>
      <c r="D859" s="220"/>
      <c r="E859" s="220"/>
      <c r="F859" s="220"/>
      <c r="G859" s="220"/>
      <c r="H859" s="222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0"/>
      <c r="AJ859" s="220"/>
    </row>
    <row r="860" spans="1:36" ht="15.75" customHeight="1">
      <c r="A860" s="221"/>
      <c r="B860" s="220"/>
      <c r="C860" s="220"/>
      <c r="D860" s="220"/>
      <c r="E860" s="220"/>
      <c r="F860" s="220"/>
      <c r="G860" s="220"/>
      <c r="H860" s="222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0"/>
      <c r="AJ860" s="220"/>
    </row>
    <row r="861" spans="1:36" ht="15.75" customHeight="1">
      <c r="A861" s="221"/>
      <c r="B861" s="220"/>
      <c r="C861" s="220"/>
      <c r="D861" s="220"/>
      <c r="E861" s="220"/>
      <c r="F861" s="220"/>
      <c r="G861" s="220"/>
      <c r="H861" s="222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0"/>
      <c r="AJ861" s="220"/>
    </row>
    <row r="862" spans="1:36" ht="15.75" customHeight="1">
      <c r="A862" s="221"/>
      <c r="B862" s="220"/>
      <c r="C862" s="220"/>
      <c r="D862" s="220"/>
      <c r="E862" s="220"/>
      <c r="F862" s="220"/>
      <c r="G862" s="220"/>
      <c r="H862" s="222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0"/>
      <c r="AJ862" s="220"/>
    </row>
    <row r="863" spans="1:36" ht="15.75" customHeight="1">
      <c r="A863" s="221"/>
      <c r="B863" s="220"/>
      <c r="C863" s="220"/>
      <c r="D863" s="220"/>
      <c r="E863" s="220"/>
      <c r="F863" s="220"/>
      <c r="G863" s="220"/>
      <c r="H863" s="222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0"/>
      <c r="AJ863" s="220"/>
    </row>
    <row r="864" spans="1:36" ht="15.75" customHeight="1">
      <c r="A864" s="221"/>
      <c r="B864" s="220"/>
      <c r="C864" s="220"/>
      <c r="D864" s="220"/>
      <c r="E864" s="220"/>
      <c r="F864" s="220"/>
      <c r="G864" s="220"/>
      <c r="H864" s="222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0"/>
      <c r="AJ864" s="220"/>
    </row>
    <row r="865" spans="1:36" ht="15.75" customHeight="1">
      <c r="A865" s="221"/>
      <c r="B865" s="220"/>
      <c r="C865" s="220"/>
      <c r="D865" s="220"/>
      <c r="E865" s="220"/>
      <c r="F865" s="220"/>
      <c r="G865" s="220"/>
      <c r="H865" s="222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0"/>
      <c r="AJ865" s="220"/>
    </row>
    <row r="866" spans="1:36" ht="15.75" customHeight="1">
      <c r="A866" s="221"/>
      <c r="B866" s="220"/>
      <c r="C866" s="220"/>
      <c r="D866" s="220"/>
      <c r="E866" s="220"/>
      <c r="F866" s="220"/>
      <c r="G866" s="220"/>
      <c r="H866" s="222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0"/>
      <c r="AJ866" s="220"/>
    </row>
    <row r="867" spans="1:36" ht="15.75" customHeight="1">
      <c r="A867" s="221"/>
      <c r="B867" s="220"/>
      <c r="C867" s="220"/>
      <c r="D867" s="220"/>
      <c r="E867" s="220"/>
      <c r="F867" s="220"/>
      <c r="G867" s="220"/>
      <c r="H867" s="222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0"/>
      <c r="AJ867" s="220"/>
    </row>
    <row r="868" spans="1:36" ht="15.75" customHeight="1">
      <c r="A868" s="221"/>
      <c r="B868" s="220"/>
      <c r="C868" s="220"/>
      <c r="D868" s="220"/>
      <c r="E868" s="220"/>
      <c r="F868" s="220"/>
      <c r="G868" s="220"/>
      <c r="H868" s="222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0"/>
      <c r="AJ868" s="220"/>
    </row>
    <row r="869" spans="1:36" ht="15.75" customHeight="1">
      <c r="A869" s="221"/>
      <c r="B869" s="220"/>
      <c r="C869" s="220"/>
      <c r="D869" s="220"/>
      <c r="E869" s="220"/>
      <c r="F869" s="220"/>
      <c r="G869" s="220"/>
      <c r="H869" s="222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0"/>
      <c r="AJ869" s="220"/>
    </row>
    <row r="870" spans="1:36" ht="15.75" customHeight="1">
      <c r="A870" s="221"/>
      <c r="B870" s="220"/>
      <c r="C870" s="220"/>
      <c r="D870" s="220"/>
      <c r="E870" s="220"/>
      <c r="F870" s="220"/>
      <c r="G870" s="220"/>
      <c r="H870" s="222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0"/>
      <c r="AJ870" s="220"/>
    </row>
    <row r="871" spans="1:36" ht="15.75" customHeight="1">
      <c r="A871" s="221"/>
      <c r="B871" s="220"/>
      <c r="C871" s="220"/>
      <c r="D871" s="220"/>
      <c r="E871" s="220"/>
      <c r="F871" s="220"/>
      <c r="G871" s="220"/>
      <c r="H871" s="222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0"/>
      <c r="AJ871" s="220"/>
    </row>
    <row r="872" spans="1:36" ht="15.75" customHeight="1">
      <c r="A872" s="221"/>
      <c r="B872" s="220"/>
      <c r="C872" s="220"/>
      <c r="D872" s="220"/>
      <c r="E872" s="220"/>
      <c r="F872" s="220"/>
      <c r="G872" s="220"/>
      <c r="H872" s="222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0"/>
      <c r="AJ872" s="220"/>
    </row>
    <row r="873" spans="1:36" ht="15.75" customHeight="1">
      <c r="A873" s="221"/>
      <c r="B873" s="220"/>
      <c r="C873" s="220"/>
      <c r="D873" s="220"/>
      <c r="E873" s="220"/>
      <c r="F873" s="220"/>
      <c r="G873" s="220"/>
      <c r="H873" s="222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0"/>
      <c r="AJ873" s="220"/>
    </row>
    <row r="874" spans="1:36" ht="15.75" customHeight="1">
      <c r="A874" s="221"/>
      <c r="B874" s="220"/>
      <c r="C874" s="220"/>
      <c r="D874" s="220"/>
      <c r="E874" s="220"/>
      <c r="F874" s="220"/>
      <c r="G874" s="220"/>
      <c r="H874" s="222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0"/>
      <c r="AJ874" s="220"/>
    </row>
    <row r="875" spans="1:36" ht="15.75" customHeight="1">
      <c r="A875" s="221"/>
      <c r="B875" s="220"/>
      <c r="C875" s="220"/>
      <c r="D875" s="220"/>
      <c r="E875" s="220"/>
      <c r="F875" s="220"/>
      <c r="G875" s="220"/>
      <c r="H875" s="222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0"/>
      <c r="AJ875" s="220"/>
    </row>
    <row r="876" spans="1:36" ht="15.75" customHeight="1">
      <c r="A876" s="221"/>
      <c r="B876" s="220"/>
      <c r="C876" s="220"/>
      <c r="D876" s="220"/>
      <c r="E876" s="220"/>
      <c r="F876" s="220"/>
      <c r="G876" s="220"/>
      <c r="H876" s="222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0"/>
      <c r="AJ876" s="220"/>
    </row>
    <row r="877" spans="1:36" ht="15.75" customHeight="1">
      <c r="A877" s="221"/>
      <c r="B877" s="220"/>
      <c r="C877" s="220"/>
      <c r="D877" s="220"/>
      <c r="E877" s="220"/>
      <c r="F877" s="220"/>
      <c r="G877" s="220"/>
      <c r="H877" s="222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0"/>
      <c r="AJ877" s="220"/>
    </row>
    <row r="878" spans="1:36" ht="15.75" customHeight="1">
      <c r="A878" s="221"/>
      <c r="B878" s="220"/>
      <c r="C878" s="220"/>
      <c r="D878" s="220"/>
      <c r="E878" s="220"/>
      <c r="F878" s="220"/>
      <c r="G878" s="220"/>
      <c r="H878" s="222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0"/>
      <c r="AJ878" s="220"/>
    </row>
    <row r="879" spans="1:36" ht="15.75" customHeight="1">
      <c r="A879" s="221"/>
      <c r="B879" s="220"/>
      <c r="C879" s="220"/>
      <c r="D879" s="220"/>
      <c r="E879" s="220"/>
      <c r="F879" s="220"/>
      <c r="G879" s="220"/>
      <c r="H879" s="222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0"/>
      <c r="AJ879" s="220"/>
    </row>
    <row r="880" spans="1:36" ht="15.75" customHeight="1">
      <c r="A880" s="221"/>
      <c r="B880" s="220"/>
      <c r="C880" s="220"/>
      <c r="D880" s="220"/>
      <c r="E880" s="220"/>
      <c r="F880" s="220"/>
      <c r="G880" s="220"/>
      <c r="H880" s="222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0"/>
      <c r="AJ880" s="220"/>
    </row>
    <row r="881" spans="1:36" ht="15.75" customHeight="1">
      <c r="A881" s="221"/>
      <c r="B881" s="220"/>
      <c r="C881" s="220"/>
      <c r="D881" s="220"/>
      <c r="E881" s="220"/>
      <c r="F881" s="220"/>
      <c r="G881" s="220"/>
      <c r="H881" s="222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0"/>
      <c r="AJ881" s="220"/>
    </row>
    <row r="882" spans="1:36" ht="15.75" customHeight="1">
      <c r="A882" s="221"/>
      <c r="B882" s="220"/>
      <c r="C882" s="220"/>
      <c r="D882" s="220"/>
      <c r="E882" s="220"/>
      <c r="F882" s="220"/>
      <c r="G882" s="220"/>
      <c r="H882" s="222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0"/>
      <c r="AJ882" s="220"/>
    </row>
    <row r="883" spans="1:36" ht="15.75" customHeight="1">
      <c r="A883" s="221"/>
      <c r="B883" s="220"/>
      <c r="C883" s="220"/>
      <c r="D883" s="220"/>
      <c r="E883" s="220"/>
      <c r="F883" s="220"/>
      <c r="G883" s="220"/>
      <c r="H883" s="222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0"/>
      <c r="AJ883" s="220"/>
    </row>
    <row r="884" spans="1:36" ht="15.75" customHeight="1">
      <c r="A884" s="221"/>
      <c r="B884" s="220"/>
      <c r="C884" s="220"/>
      <c r="D884" s="220"/>
      <c r="E884" s="220"/>
      <c r="F884" s="220"/>
      <c r="G884" s="220"/>
      <c r="H884" s="222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0"/>
      <c r="AJ884" s="220"/>
    </row>
    <row r="885" spans="1:36" ht="15.75" customHeight="1">
      <c r="A885" s="221"/>
      <c r="B885" s="220"/>
      <c r="C885" s="220"/>
      <c r="D885" s="220"/>
      <c r="E885" s="220"/>
      <c r="F885" s="220"/>
      <c r="G885" s="220"/>
      <c r="H885" s="222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0"/>
      <c r="AJ885" s="220"/>
    </row>
    <row r="886" spans="1:36" ht="15.75" customHeight="1">
      <c r="A886" s="221"/>
      <c r="B886" s="220"/>
      <c r="C886" s="220"/>
      <c r="D886" s="220"/>
      <c r="E886" s="220"/>
      <c r="F886" s="220"/>
      <c r="G886" s="220"/>
      <c r="H886" s="222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0"/>
      <c r="AJ886" s="220"/>
    </row>
    <row r="887" spans="1:36" ht="15.75" customHeight="1">
      <c r="A887" s="221"/>
      <c r="B887" s="220"/>
      <c r="C887" s="220"/>
      <c r="D887" s="220"/>
      <c r="E887" s="220"/>
      <c r="F887" s="220"/>
      <c r="G887" s="220"/>
      <c r="H887" s="222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0"/>
      <c r="AJ887" s="220"/>
    </row>
    <row r="888" spans="1:36" ht="15.75" customHeight="1">
      <c r="A888" s="221"/>
      <c r="B888" s="220"/>
      <c r="C888" s="220"/>
      <c r="D888" s="220"/>
      <c r="E888" s="220"/>
      <c r="F888" s="220"/>
      <c r="G888" s="220"/>
      <c r="H888" s="222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0"/>
      <c r="AJ888" s="220"/>
    </row>
    <row r="889" spans="1:36" ht="15.75" customHeight="1">
      <c r="A889" s="221"/>
      <c r="B889" s="220"/>
      <c r="C889" s="220"/>
      <c r="D889" s="220"/>
      <c r="E889" s="220"/>
      <c r="F889" s="220"/>
      <c r="G889" s="220"/>
      <c r="H889" s="222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0"/>
      <c r="AJ889" s="220"/>
    </row>
    <row r="890" spans="1:36" ht="15.75" customHeight="1">
      <c r="A890" s="221"/>
      <c r="B890" s="220"/>
      <c r="C890" s="220"/>
      <c r="D890" s="220"/>
      <c r="E890" s="220"/>
      <c r="F890" s="220"/>
      <c r="G890" s="220"/>
      <c r="H890" s="222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0"/>
      <c r="AJ890" s="220"/>
    </row>
    <row r="891" spans="1:36" ht="15.75" customHeight="1">
      <c r="A891" s="221"/>
      <c r="B891" s="220"/>
      <c r="C891" s="220"/>
      <c r="D891" s="220"/>
      <c r="E891" s="220"/>
      <c r="F891" s="220"/>
      <c r="G891" s="220"/>
      <c r="H891" s="222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0"/>
      <c r="AJ891" s="220"/>
    </row>
    <row r="892" spans="1:36" ht="15.75" customHeight="1">
      <c r="A892" s="221"/>
      <c r="B892" s="220"/>
      <c r="C892" s="220"/>
      <c r="D892" s="220"/>
      <c r="E892" s="220"/>
      <c r="F892" s="220"/>
      <c r="G892" s="220"/>
      <c r="H892" s="222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0"/>
      <c r="AJ892" s="220"/>
    </row>
    <row r="893" spans="1:36" ht="15.75" customHeight="1">
      <c r="A893" s="221"/>
      <c r="B893" s="220"/>
      <c r="C893" s="220"/>
      <c r="D893" s="220"/>
      <c r="E893" s="220"/>
      <c r="F893" s="220"/>
      <c r="G893" s="220"/>
      <c r="H893" s="222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0"/>
      <c r="AJ893" s="220"/>
    </row>
    <row r="894" spans="1:36" ht="15.75" customHeight="1">
      <c r="A894" s="221"/>
      <c r="B894" s="220"/>
      <c r="C894" s="220"/>
      <c r="D894" s="220"/>
      <c r="E894" s="220"/>
      <c r="F894" s="220"/>
      <c r="G894" s="220"/>
      <c r="H894" s="222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0"/>
      <c r="AJ894" s="220"/>
    </row>
    <row r="895" spans="1:36" ht="15.75" customHeight="1">
      <c r="A895" s="221"/>
      <c r="B895" s="220"/>
      <c r="C895" s="220"/>
      <c r="D895" s="220"/>
      <c r="E895" s="220"/>
      <c r="F895" s="220"/>
      <c r="G895" s="220"/>
      <c r="H895" s="222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0"/>
      <c r="AJ895" s="220"/>
    </row>
    <row r="896" spans="1:36" ht="15.75" customHeight="1">
      <c r="A896" s="221"/>
      <c r="B896" s="220"/>
      <c r="C896" s="220"/>
      <c r="D896" s="220"/>
      <c r="E896" s="220"/>
      <c r="F896" s="220"/>
      <c r="G896" s="220"/>
      <c r="H896" s="222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0"/>
    </row>
    <row r="897" spans="1:36" ht="15.75" customHeight="1">
      <c r="A897" s="221"/>
      <c r="B897" s="220"/>
      <c r="C897" s="220"/>
      <c r="D897" s="220"/>
      <c r="E897" s="220"/>
      <c r="F897" s="220"/>
      <c r="G897" s="220"/>
      <c r="H897" s="222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0"/>
      <c r="AJ897" s="220"/>
    </row>
    <row r="898" spans="1:36" ht="15.75" customHeight="1">
      <c r="A898" s="221"/>
      <c r="B898" s="220"/>
      <c r="C898" s="220"/>
      <c r="D898" s="220"/>
      <c r="E898" s="220"/>
      <c r="F898" s="220"/>
      <c r="G898" s="220"/>
      <c r="H898" s="222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220"/>
      <c r="AJ898" s="220"/>
    </row>
    <row r="899" spans="1:36" ht="15.75" customHeight="1">
      <c r="A899" s="221"/>
      <c r="B899" s="220"/>
      <c r="C899" s="220"/>
      <c r="D899" s="220"/>
      <c r="E899" s="220"/>
      <c r="F899" s="220"/>
      <c r="G899" s="220"/>
      <c r="H899" s="222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220"/>
      <c r="AJ899" s="220"/>
    </row>
    <row r="900" spans="1:36" ht="15.75" customHeight="1">
      <c r="A900" s="221"/>
      <c r="B900" s="220"/>
      <c r="C900" s="220"/>
      <c r="D900" s="220"/>
      <c r="E900" s="220"/>
      <c r="F900" s="220"/>
      <c r="G900" s="220"/>
      <c r="H900" s="222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220"/>
      <c r="AJ900" s="220"/>
    </row>
    <row r="901" spans="1:36" ht="15.75" customHeight="1">
      <c r="A901" s="221"/>
      <c r="B901" s="220"/>
      <c r="C901" s="220"/>
      <c r="D901" s="220"/>
      <c r="E901" s="220"/>
      <c r="F901" s="220"/>
      <c r="G901" s="220"/>
      <c r="H901" s="222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220"/>
      <c r="AJ901" s="220"/>
    </row>
    <row r="902" spans="1:36" ht="15.75" customHeight="1">
      <c r="A902" s="221"/>
      <c r="B902" s="220"/>
      <c r="C902" s="220"/>
      <c r="D902" s="220"/>
      <c r="E902" s="220"/>
      <c r="F902" s="220"/>
      <c r="G902" s="220"/>
      <c r="H902" s="222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220"/>
      <c r="AJ902" s="220"/>
    </row>
    <row r="903" spans="1:36" ht="15.75" customHeight="1">
      <c r="A903" s="221"/>
      <c r="B903" s="220"/>
      <c r="C903" s="220"/>
      <c r="D903" s="220"/>
      <c r="E903" s="220"/>
      <c r="F903" s="220"/>
      <c r="G903" s="220"/>
      <c r="H903" s="222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220"/>
      <c r="AJ903" s="220"/>
    </row>
    <row r="904" spans="1:36" ht="15.75" customHeight="1">
      <c r="A904" s="221"/>
      <c r="B904" s="220"/>
      <c r="C904" s="220"/>
      <c r="D904" s="220"/>
      <c r="E904" s="220"/>
      <c r="F904" s="220"/>
      <c r="G904" s="220"/>
      <c r="H904" s="222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220"/>
      <c r="AJ904" s="220"/>
    </row>
    <row r="905" spans="1:36" ht="15.75" customHeight="1">
      <c r="A905" s="221"/>
      <c r="B905" s="220"/>
      <c r="C905" s="220"/>
      <c r="D905" s="220"/>
      <c r="E905" s="220"/>
      <c r="F905" s="220"/>
      <c r="G905" s="220"/>
      <c r="H905" s="222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220"/>
      <c r="AJ905" s="220"/>
    </row>
    <row r="906" spans="1:36" ht="15.75" customHeight="1">
      <c r="A906" s="221"/>
      <c r="B906" s="220"/>
      <c r="C906" s="220"/>
      <c r="D906" s="220"/>
      <c r="E906" s="220"/>
      <c r="F906" s="220"/>
      <c r="G906" s="220"/>
      <c r="H906" s="222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220"/>
      <c r="AJ906" s="220"/>
    </row>
    <row r="907" spans="1:36" ht="15.75" customHeight="1">
      <c r="A907" s="221"/>
      <c r="B907" s="220"/>
      <c r="C907" s="220"/>
      <c r="D907" s="220"/>
      <c r="E907" s="220"/>
      <c r="F907" s="220"/>
      <c r="G907" s="220"/>
      <c r="H907" s="222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220"/>
      <c r="AJ907" s="220"/>
    </row>
    <row r="908" spans="1:36" ht="15.75" customHeight="1">
      <c r="A908" s="221"/>
      <c r="B908" s="220"/>
      <c r="C908" s="220"/>
      <c r="D908" s="220"/>
      <c r="E908" s="220"/>
      <c r="F908" s="220"/>
      <c r="G908" s="220"/>
      <c r="H908" s="222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220"/>
      <c r="AJ908" s="220"/>
    </row>
    <row r="909" spans="1:36" ht="15.75" customHeight="1">
      <c r="A909" s="221"/>
      <c r="B909" s="220"/>
      <c r="C909" s="220"/>
      <c r="D909" s="220"/>
      <c r="E909" s="220"/>
      <c r="F909" s="220"/>
      <c r="G909" s="220"/>
      <c r="H909" s="222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220"/>
      <c r="AJ909" s="220"/>
    </row>
    <row r="910" spans="1:36" ht="15.75" customHeight="1">
      <c r="A910" s="221"/>
      <c r="B910" s="220"/>
      <c r="C910" s="220"/>
      <c r="D910" s="220"/>
      <c r="E910" s="220"/>
      <c r="F910" s="220"/>
      <c r="G910" s="220"/>
      <c r="H910" s="222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220"/>
      <c r="AJ910" s="220"/>
    </row>
    <row r="911" spans="1:36" ht="15.75" customHeight="1">
      <c r="A911" s="221"/>
      <c r="B911" s="220"/>
      <c r="C911" s="220"/>
      <c r="D911" s="220"/>
      <c r="E911" s="220"/>
      <c r="F911" s="220"/>
      <c r="G911" s="220"/>
      <c r="H911" s="222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220"/>
      <c r="AJ911" s="220"/>
    </row>
    <row r="912" spans="1:36" ht="15.75" customHeight="1">
      <c r="A912" s="221"/>
      <c r="B912" s="220"/>
      <c r="C912" s="220"/>
      <c r="D912" s="220"/>
      <c r="E912" s="220"/>
      <c r="F912" s="220"/>
      <c r="G912" s="220"/>
      <c r="H912" s="222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220"/>
      <c r="AJ912" s="220"/>
    </row>
    <row r="913" spans="1:36" ht="15.75" customHeight="1">
      <c r="A913" s="221"/>
      <c r="B913" s="220"/>
      <c r="C913" s="220"/>
      <c r="D913" s="220"/>
      <c r="E913" s="220"/>
      <c r="F913" s="220"/>
      <c r="G913" s="220"/>
      <c r="H913" s="222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220"/>
      <c r="AJ913" s="220"/>
    </row>
    <row r="914" spans="1:36" ht="15.75" customHeight="1">
      <c r="A914" s="221"/>
      <c r="B914" s="220"/>
      <c r="C914" s="220"/>
      <c r="D914" s="220"/>
      <c r="E914" s="220"/>
      <c r="F914" s="220"/>
      <c r="G914" s="220"/>
      <c r="H914" s="222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220"/>
      <c r="AJ914" s="220"/>
    </row>
    <row r="915" spans="1:36" ht="15.75" customHeight="1">
      <c r="A915" s="221"/>
      <c r="B915" s="220"/>
      <c r="C915" s="220"/>
      <c r="D915" s="220"/>
      <c r="E915" s="220"/>
      <c r="F915" s="220"/>
      <c r="G915" s="220"/>
      <c r="H915" s="222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220"/>
      <c r="AJ915" s="220"/>
    </row>
    <row r="916" spans="1:36" ht="15.75" customHeight="1">
      <c r="A916" s="221"/>
      <c r="B916" s="220"/>
      <c r="C916" s="220"/>
      <c r="D916" s="220"/>
      <c r="E916" s="220"/>
      <c r="F916" s="220"/>
      <c r="G916" s="220"/>
      <c r="H916" s="222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220"/>
      <c r="AJ916" s="220"/>
    </row>
    <row r="917" spans="1:36" ht="15.75" customHeight="1">
      <c r="A917" s="221"/>
      <c r="B917" s="220"/>
      <c r="C917" s="220"/>
      <c r="D917" s="220"/>
      <c r="E917" s="220"/>
      <c r="F917" s="220"/>
      <c r="G917" s="220"/>
      <c r="H917" s="222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220"/>
      <c r="AJ917" s="220"/>
    </row>
    <row r="918" spans="1:36" ht="15.75" customHeight="1">
      <c r="A918" s="221"/>
      <c r="B918" s="220"/>
      <c r="C918" s="220"/>
      <c r="D918" s="220"/>
      <c r="E918" s="220"/>
      <c r="F918" s="220"/>
      <c r="G918" s="220"/>
      <c r="H918" s="222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220"/>
      <c r="AJ918" s="220"/>
    </row>
    <row r="919" spans="1:36" ht="15.75" customHeight="1">
      <c r="A919" s="221"/>
      <c r="B919" s="220"/>
      <c r="C919" s="220"/>
      <c r="D919" s="220"/>
      <c r="E919" s="220"/>
      <c r="F919" s="220"/>
      <c r="G919" s="220"/>
      <c r="H919" s="222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220"/>
      <c r="AJ919" s="220"/>
    </row>
    <row r="920" spans="1:36" ht="15.75" customHeight="1">
      <c r="A920" s="221"/>
      <c r="B920" s="220"/>
      <c r="C920" s="220"/>
      <c r="D920" s="220"/>
      <c r="E920" s="220"/>
      <c r="F920" s="220"/>
      <c r="G920" s="220"/>
      <c r="H920" s="222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220"/>
      <c r="AJ920" s="220"/>
    </row>
    <row r="921" spans="1:36" ht="15.75" customHeight="1">
      <c r="A921" s="221"/>
      <c r="B921" s="220"/>
      <c r="C921" s="220"/>
      <c r="D921" s="220"/>
      <c r="E921" s="220"/>
      <c r="F921" s="220"/>
      <c r="G921" s="220"/>
      <c r="H921" s="222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</row>
    <row r="922" spans="1:36" ht="15.75" customHeight="1">
      <c r="A922" s="221"/>
      <c r="B922" s="220"/>
      <c r="C922" s="220"/>
      <c r="D922" s="220"/>
      <c r="E922" s="220"/>
      <c r="F922" s="220"/>
      <c r="G922" s="220"/>
      <c r="H922" s="222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220"/>
      <c r="AJ922" s="220"/>
    </row>
    <row r="923" spans="1:36" ht="15.75" customHeight="1">
      <c r="A923" s="221"/>
      <c r="B923" s="220"/>
      <c r="C923" s="220"/>
      <c r="D923" s="220"/>
      <c r="E923" s="220"/>
      <c r="F923" s="220"/>
      <c r="G923" s="220"/>
      <c r="H923" s="222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220"/>
      <c r="AJ923" s="220"/>
    </row>
    <row r="924" spans="1:36" ht="15.75" customHeight="1">
      <c r="A924" s="221"/>
      <c r="B924" s="220"/>
      <c r="C924" s="220"/>
      <c r="D924" s="220"/>
      <c r="E924" s="220"/>
      <c r="F924" s="220"/>
      <c r="G924" s="220"/>
      <c r="H924" s="222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220"/>
      <c r="AJ924" s="220"/>
    </row>
    <row r="925" spans="1:36" ht="15.75" customHeight="1">
      <c r="A925" s="221"/>
      <c r="B925" s="220"/>
      <c r="C925" s="220"/>
      <c r="D925" s="220"/>
      <c r="E925" s="220"/>
      <c r="F925" s="220"/>
      <c r="G925" s="220"/>
      <c r="H925" s="222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220"/>
      <c r="AJ925" s="220"/>
    </row>
    <row r="926" spans="1:36" ht="15.75" customHeight="1">
      <c r="A926" s="221"/>
      <c r="B926" s="220"/>
      <c r="C926" s="220"/>
      <c r="D926" s="220"/>
      <c r="E926" s="220"/>
      <c r="F926" s="220"/>
      <c r="G926" s="220"/>
      <c r="H926" s="222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220"/>
      <c r="AJ926" s="220"/>
    </row>
    <row r="927" spans="1:36" ht="15.75" customHeight="1">
      <c r="A927" s="221"/>
      <c r="B927" s="220"/>
      <c r="C927" s="220"/>
      <c r="D927" s="220"/>
      <c r="E927" s="220"/>
      <c r="F927" s="220"/>
      <c r="G927" s="220"/>
      <c r="H927" s="222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220"/>
      <c r="AJ927" s="220"/>
    </row>
    <row r="928" spans="1:36" ht="15.75" customHeight="1">
      <c r="A928" s="221"/>
      <c r="B928" s="220"/>
      <c r="C928" s="220"/>
      <c r="D928" s="220"/>
      <c r="E928" s="220"/>
      <c r="F928" s="220"/>
      <c r="G928" s="220"/>
      <c r="H928" s="222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220"/>
      <c r="AJ928" s="220"/>
    </row>
    <row r="929" spans="1:36" ht="15.75" customHeight="1">
      <c r="A929" s="221"/>
      <c r="B929" s="220"/>
      <c r="C929" s="220"/>
      <c r="D929" s="220"/>
      <c r="E929" s="220"/>
      <c r="F929" s="220"/>
      <c r="G929" s="220"/>
      <c r="H929" s="222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220"/>
      <c r="AJ929" s="220"/>
    </row>
    <row r="930" spans="1:36" ht="15.75" customHeight="1">
      <c r="A930" s="221"/>
      <c r="B930" s="220"/>
      <c r="C930" s="220"/>
      <c r="D930" s="220"/>
      <c r="E930" s="220"/>
      <c r="F930" s="220"/>
      <c r="G930" s="220"/>
      <c r="H930" s="222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220"/>
      <c r="AJ930" s="220"/>
    </row>
    <row r="931" spans="1:36" ht="15.75" customHeight="1">
      <c r="A931" s="221"/>
      <c r="B931" s="220"/>
      <c r="C931" s="220"/>
      <c r="D931" s="220"/>
      <c r="E931" s="220"/>
      <c r="F931" s="220"/>
      <c r="G931" s="220"/>
      <c r="H931" s="222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220"/>
      <c r="AJ931" s="220"/>
    </row>
    <row r="932" spans="1:36" ht="15.75" customHeight="1">
      <c r="A932" s="221"/>
      <c r="B932" s="220"/>
      <c r="C932" s="220"/>
      <c r="D932" s="220"/>
      <c r="E932" s="220"/>
      <c r="F932" s="220"/>
      <c r="G932" s="220"/>
      <c r="H932" s="222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220"/>
      <c r="AJ932" s="220"/>
    </row>
    <row r="933" spans="1:36" ht="15.75" customHeight="1">
      <c r="A933" s="221"/>
      <c r="B933" s="220"/>
      <c r="C933" s="220"/>
      <c r="D933" s="220"/>
      <c r="E933" s="220"/>
      <c r="F933" s="220"/>
      <c r="G933" s="220"/>
      <c r="H933" s="222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220"/>
      <c r="AJ933" s="220"/>
    </row>
    <row r="934" spans="1:36" ht="15.75" customHeight="1">
      <c r="A934" s="221"/>
      <c r="B934" s="220"/>
      <c r="C934" s="220"/>
      <c r="D934" s="220"/>
      <c r="E934" s="220"/>
      <c r="F934" s="220"/>
      <c r="G934" s="220"/>
      <c r="H934" s="222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220"/>
      <c r="AJ934" s="220"/>
    </row>
    <row r="935" spans="1:36" ht="15.75" customHeight="1">
      <c r="A935" s="221"/>
      <c r="B935" s="220"/>
      <c r="C935" s="220"/>
      <c r="D935" s="220"/>
      <c r="E935" s="220"/>
      <c r="F935" s="220"/>
      <c r="G935" s="220"/>
      <c r="H935" s="222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220"/>
      <c r="AJ935" s="220"/>
    </row>
    <row r="936" spans="1:36" ht="15.75" customHeight="1">
      <c r="A936" s="221"/>
      <c r="B936" s="220"/>
      <c r="C936" s="220"/>
      <c r="D936" s="220"/>
      <c r="E936" s="220"/>
      <c r="F936" s="220"/>
      <c r="G936" s="220"/>
      <c r="H936" s="222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220"/>
      <c r="AJ936" s="220"/>
    </row>
    <row r="937" spans="1:36" ht="15.75" customHeight="1">
      <c r="A937" s="221"/>
      <c r="B937" s="220"/>
      <c r="C937" s="220"/>
      <c r="D937" s="220"/>
      <c r="E937" s="220"/>
      <c r="F937" s="220"/>
      <c r="G937" s="220"/>
      <c r="H937" s="222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220"/>
      <c r="AJ937" s="220"/>
    </row>
    <row r="938" spans="1:36" ht="15.75" customHeight="1">
      <c r="A938" s="221"/>
      <c r="B938" s="220"/>
      <c r="C938" s="220"/>
      <c r="D938" s="220"/>
      <c r="E938" s="220"/>
      <c r="F938" s="220"/>
      <c r="G938" s="220"/>
      <c r="H938" s="222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220"/>
      <c r="AJ938" s="220"/>
    </row>
    <row r="939" spans="1:36" ht="15.75" customHeight="1">
      <c r="A939" s="221"/>
      <c r="B939" s="220"/>
      <c r="C939" s="220"/>
      <c r="D939" s="220"/>
      <c r="E939" s="220"/>
      <c r="F939" s="220"/>
      <c r="G939" s="220"/>
      <c r="H939" s="222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220"/>
      <c r="AJ939" s="220"/>
    </row>
    <row r="940" spans="1:36" ht="15.75" customHeight="1">
      <c r="A940" s="221"/>
      <c r="B940" s="220"/>
      <c r="C940" s="220"/>
      <c r="D940" s="220"/>
      <c r="E940" s="220"/>
      <c r="F940" s="220"/>
      <c r="G940" s="220"/>
      <c r="H940" s="222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220"/>
      <c r="AJ940" s="220"/>
    </row>
    <row r="941" spans="1:36" ht="15.75" customHeight="1">
      <c r="A941" s="221"/>
      <c r="B941" s="220"/>
      <c r="C941" s="220"/>
      <c r="D941" s="220"/>
      <c r="E941" s="220"/>
      <c r="F941" s="220"/>
      <c r="G941" s="220"/>
      <c r="H941" s="222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220"/>
      <c r="AJ941" s="220"/>
    </row>
    <row r="942" spans="1:36" ht="15.75" customHeight="1">
      <c r="A942" s="221"/>
      <c r="B942" s="220"/>
      <c r="C942" s="220"/>
      <c r="D942" s="220"/>
      <c r="E942" s="220"/>
      <c r="F942" s="220"/>
      <c r="G942" s="220"/>
      <c r="H942" s="222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220"/>
      <c r="AJ942" s="220"/>
    </row>
    <row r="943" spans="1:36" ht="15.75" customHeight="1">
      <c r="A943" s="221"/>
      <c r="B943" s="220"/>
      <c r="C943" s="220"/>
      <c r="D943" s="220"/>
      <c r="E943" s="220"/>
      <c r="F943" s="220"/>
      <c r="G943" s="220"/>
      <c r="H943" s="222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220"/>
      <c r="AJ943" s="220"/>
    </row>
    <row r="944" spans="1:36" ht="15.75" customHeight="1">
      <c r="A944" s="221"/>
      <c r="B944" s="220"/>
      <c r="C944" s="220"/>
      <c r="D944" s="220"/>
      <c r="E944" s="220"/>
      <c r="F944" s="220"/>
      <c r="G944" s="220"/>
      <c r="H944" s="222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220"/>
      <c r="AJ944" s="220"/>
    </row>
    <row r="945" spans="1:36" ht="15.75" customHeight="1">
      <c r="A945" s="221"/>
      <c r="B945" s="220"/>
      <c r="C945" s="220"/>
      <c r="D945" s="220"/>
      <c r="E945" s="220"/>
      <c r="F945" s="220"/>
      <c r="G945" s="220"/>
      <c r="H945" s="222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220"/>
      <c r="AJ945" s="220"/>
    </row>
    <row r="946" spans="1:36" ht="15.75" customHeight="1">
      <c r="A946" s="221"/>
      <c r="B946" s="220"/>
      <c r="C946" s="220"/>
      <c r="D946" s="220"/>
      <c r="E946" s="220"/>
      <c r="F946" s="220"/>
      <c r="G946" s="220"/>
      <c r="H946" s="222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220"/>
      <c r="AJ946" s="220"/>
    </row>
    <row r="947" spans="1:36" ht="15.75" customHeight="1">
      <c r="A947" s="221"/>
      <c r="B947" s="220"/>
      <c r="C947" s="220"/>
      <c r="D947" s="220"/>
      <c r="E947" s="220"/>
      <c r="F947" s="220"/>
      <c r="G947" s="220"/>
      <c r="H947" s="222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220"/>
      <c r="AJ947" s="220"/>
    </row>
    <row r="948" spans="1:36" ht="15.75" customHeight="1">
      <c r="A948" s="221"/>
      <c r="B948" s="220"/>
      <c r="C948" s="220"/>
      <c r="D948" s="220"/>
      <c r="E948" s="220"/>
      <c r="F948" s="220"/>
      <c r="G948" s="220"/>
      <c r="H948" s="222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220"/>
      <c r="AJ948" s="220"/>
    </row>
    <row r="949" spans="1:36" ht="15.75" customHeight="1">
      <c r="A949" s="221"/>
      <c r="B949" s="220"/>
      <c r="C949" s="220"/>
      <c r="D949" s="220"/>
      <c r="E949" s="220"/>
      <c r="F949" s="220"/>
      <c r="G949" s="220"/>
      <c r="H949" s="222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220"/>
      <c r="AJ949" s="220"/>
    </row>
    <row r="950" spans="1:36" ht="15.75" customHeight="1">
      <c r="A950" s="221"/>
      <c r="B950" s="220"/>
      <c r="C950" s="220"/>
      <c r="D950" s="220"/>
      <c r="E950" s="220"/>
      <c r="F950" s="220"/>
      <c r="G950" s="220"/>
      <c r="H950" s="222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220"/>
      <c r="AJ950" s="220"/>
    </row>
    <row r="951" spans="1:36" ht="15.75" customHeight="1">
      <c r="A951" s="221"/>
      <c r="B951" s="220"/>
      <c r="C951" s="220"/>
      <c r="D951" s="220"/>
      <c r="E951" s="220"/>
      <c r="F951" s="220"/>
      <c r="G951" s="220"/>
      <c r="H951" s="222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220"/>
      <c r="AJ951" s="220"/>
    </row>
    <row r="952" spans="1:36" ht="15.75" customHeight="1">
      <c r="A952" s="221"/>
      <c r="B952" s="220"/>
      <c r="C952" s="220"/>
      <c r="D952" s="220"/>
      <c r="E952" s="220"/>
      <c r="F952" s="220"/>
      <c r="G952" s="220"/>
      <c r="H952" s="222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220"/>
      <c r="AJ952" s="220"/>
    </row>
    <row r="953" spans="1:36" ht="15.75" customHeight="1">
      <c r="A953" s="221"/>
      <c r="B953" s="220"/>
      <c r="C953" s="220"/>
      <c r="D953" s="220"/>
      <c r="E953" s="220"/>
      <c r="F953" s="220"/>
      <c r="G953" s="220"/>
      <c r="H953" s="222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220"/>
      <c r="AJ953" s="220"/>
    </row>
    <row r="954" spans="1:36" ht="15.75" customHeight="1">
      <c r="A954" s="221"/>
      <c r="B954" s="220"/>
      <c r="C954" s="220"/>
      <c r="D954" s="220"/>
      <c r="E954" s="220"/>
      <c r="F954" s="220"/>
      <c r="G954" s="220"/>
      <c r="H954" s="222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220"/>
      <c r="AJ954" s="220"/>
    </row>
    <row r="955" spans="1:36" ht="15.75" customHeight="1">
      <c r="A955" s="221"/>
      <c r="B955" s="220"/>
      <c r="C955" s="220"/>
      <c r="D955" s="220"/>
      <c r="E955" s="220"/>
      <c r="F955" s="220"/>
      <c r="G955" s="220"/>
      <c r="H955" s="222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220"/>
      <c r="AJ955" s="220"/>
    </row>
    <row r="956" spans="1:36" ht="15.75" customHeight="1">
      <c r="A956" s="221"/>
      <c r="B956" s="220"/>
      <c r="C956" s="220"/>
      <c r="D956" s="220"/>
      <c r="E956" s="220"/>
      <c r="F956" s="220"/>
      <c r="G956" s="220"/>
      <c r="H956" s="222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220"/>
      <c r="AJ956" s="220"/>
    </row>
    <row r="957" spans="1:36" ht="15.75" customHeight="1">
      <c r="A957" s="221"/>
      <c r="B957" s="220"/>
      <c r="C957" s="220"/>
      <c r="D957" s="220"/>
      <c r="E957" s="220"/>
      <c r="F957" s="220"/>
      <c r="G957" s="220"/>
      <c r="H957" s="222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220"/>
      <c r="AJ957" s="220"/>
    </row>
    <row r="958" spans="1:36" ht="15.75" customHeight="1">
      <c r="A958" s="221"/>
      <c r="B958" s="220"/>
      <c r="C958" s="220"/>
      <c r="D958" s="220"/>
      <c r="E958" s="220"/>
      <c r="F958" s="220"/>
      <c r="G958" s="220"/>
      <c r="H958" s="222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220"/>
      <c r="AJ958" s="220"/>
    </row>
    <row r="959" spans="1:36" ht="15.75" customHeight="1">
      <c r="A959" s="221"/>
      <c r="B959" s="220"/>
      <c r="C959" s="220"/>
      <c r="D959" s="220"/>
      <c r="E959" s="220"/>
      <c r="F959" s="220"/>
      <c r="G959" s="220"/>
      <c r="H959" s="222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220"/>
      <c r="AJ959" s="220"/>
    </row>
    <row r="960" spans="1:36" ht="15.75" customHeight="1">
      <c r="A960" s="221"/>
      <c r="B960" s="220"/>
      <c r="C960" s="220"/>
      <c r="D960" s="220"/>
      <c r="E960" s="220"/>
      <c r="F960" s="220"/>
      <c r="G960" s="220"/>
      <c r="H960" s="222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220"/>
      <c r="AJ960" s="220"/>
    </row>
    <row r="961" spans="1:36" ht="15.75" customHeight="1">
      <c r="A961" s="221"/>
      <c r="B961" s="220"/>
      <c r="C961" s="220"/>
      <c r="D961" s="220"/>
      <c r="E961" s="220"/>
      <c r="F961" s="220"/>
      <c r="G961" s="220"/>
      <c r="H961" s="222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220"/>
      <c r="AJ961" s="220"/>
    </row>
    <row r="962" spans="1:36" ht="15.75" customHeight="1">
      <c r="A962" s="221"/>
      <c r="B962" s="220"/>
      <c r="C962" s="220"/>
      <c r="D962" s="220"/>
      <c r="E962" s="220"/>
      <c r="F962" s="220"/>
      <c r="G962" s="220"/>
      <c r="H962" s="222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220"/>
      <c r="AJ962" s="220"/>
    </row>
    <row r="963" spans="1:36" ht="15.75" customHeight="1">
      <c r="A963" s="221"/>
      <c r="B963" s="220"/>
      <c r="C963" s="220"/>
      <c r="D963" s="220"/>
      <c r="E963" s="220"/>
      <c r="F963" s="220"/>
      <c r="G963" s="220"/>
      <c r="H963" s="222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220"/>
      <c r="AJ963" s="220"/>
    </row>
    <row r="964" spans="1:36" ht="15.75" customHeight="1">
      <c r="A964" s="221"/>
      <c r="B964" s="220"/>
      <c r="C964" s="220"/>
      <c r="D964" s="220"/>
      <c r="E964" s="220"/>
      <c r="F964" s="220"/>
      <c r="G964" s="220"/>
      <c r="H964" s="222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220"/>
      <c r="AJ964" s="220"/>
    </row>
    <row r="965" spans="1:36" ht="15.75" customHeight="1">
      <c r="A965" s="221"/>
      <c r="B965" s="220"/>
      <c r="C965" s="220"/>
      <c r="D965" s="220"/>
      <c r="E965" s="220"/>
      <c r="F965" s="220"/>
      <c r="G965" s="220"/>
      <c r="H965" s="222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220"/>
      <c r="AJ965" s="220"/>
    </row>
    <row r="966" spans="1:36" ht="15.75" customHeight="1">
      <c r="A966" s="221"/>
      <c r="B966" s="220"/>
      <c r="C966" s="220"/>
      <c r="D966" s="220"/>
      <c r="E966" s="220"/>
      <c r="F966" s="220"/>
      <c r="G966" s="220"/>
      <c r="H966" s="222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220"/>
      <c r="AJ966" s="220"/>
    </row>
    <row r="967" spans="1:36" ht="15.75" customHeight="1">
      <c r="A967" s="221"/>
      <c r="B967" s="220"/>
      <c r="C967" s="220"/>
      <c r="D967" s="220"/>
      <c r="E967" s="220"/>
      <c r="F967" s="220"/>
      <c r="G967" s="220"/>
      <c r="H967" s="222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220"/>
      <c r="AJ967" s="220"/>
    </row>
    <row r="968" spans="1:36" ht="15.75" customHeight="1">
      <c r="A968" s="221"/>
      <c r="B968" s="220"/>
      <c r="C968" s="220"/>
      <c r="D968" s="220"/>
      <c r="E968" s="220"/>
      <c r="F968" s="220"/>
      <c r="G968" s="220"/>
      <c r="H968" s="222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220"/>
      <c r="AJ968" s="220"/>
    </row>
    <row r="969" spans="1:36" ht="15.75" customHeight="1">
      <c r="A969" s="221"/>
      <c r="B969" s="220"/>
      <c r="C969" s="220"/>
      <c r="D969" s="220"/>
      <c r="E969" s="220"/>
      <c r="F969" s="220"/>
      <c r="G969" s="220"/>
      <c r="H969" s="222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220"/>
      <c r="AJ969" s="220"/>
    </row>
    <row r="970" spans="1:36" ht="15.75" customHeight="1">
      <c r="A970" s="221"/>
      <c r="B970" s="220"/>
      <c r="C970" s="220"/>
      <c r="D970" s="220"/>
      <c r="E970" s="220"/>
      <c r="F970" s="220"/>
      <c r="G970" s="220"/>
      <c r="H970" s="222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220"/>
      <c r="AJ970" s="220"/>
    </row>
    <row r="971" spans="1:36" ht="15.75" customHeight="1">
      <c r="A971" s="221"/>
      <c r="B971" s="220"/>
      <c r="C971" s="220"/>
      <c r="D971" s="220"/>
      <c r="E971" s="220"/>
      <c r="F971" s="220"/>
      <c r="G971" s="220"/>
      <c r="H971" s="222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220"/>
      <c r="AJ971" s="220"/>
    </row>
    <row r="972" spans="1:36" ht="15.75" customHeight="1">
      <c r="A972" s="221"/>
      <c r="B972" s="220"/>
      <c r="C972" s="220"/>
      <c r="D972" s="220"/>
      <c r="E972" s="220"/>
      <c r="F972" s="220"/>
      <c r="G972" s="220"/>
      <c r="H972" s="222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220"/>
      <c r="AJ972" s="220"/>
    </row>
    <row r="973" spans="1:36" ht="15.75" customHeight="1">
      <c r="A973" s="221"/>
      <c r="B973" s="220"/>
      <c r="C973" s="220"/>
      <c r="D973" s="220"/>
      <c r="E973" s="220"/>
      <c r="F973" s="220"/>
      <c r="G973" s="220"/>
      <c r="H973" s="222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220"/>
      <c r="AJ973" s="220"/>
    </row>
    <row r="974" spans="1:36" ht="15.75" customHeight="1">
      <c r="A974" s="221"/>
      <c r="B974" s="220"/>
      <c r="C974" s="220"/>
      <c r="D974" s="220"/>
      <c r="E974" s="220"/>
      <c r="F974" s="220"/>
      <c r="G974" s="220"/>
      <c r="H974" s="222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220"/>
      <c r="AJ974" s="220"/>
    </row>
    <row r="975" spans="1:36" ht="15.75" customHeight="1">
      <c r="A975" s="221"/>
      <c r="B975" s="220"/>
      <c r="C975" s="220"/>
      <c r="D975" s="220"/>
      <c r="E975" s="220"/>
      <c r="F975" s="220"/>
      <c r="G975" s="220"/>
      <c r="H975" s="222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220"/>
      <c r="AJ975" s="220"/>
    </row>
    <row r="976" spans="1:36" ht="15.75" customHeight="1">
      <c r="A976" s="221"/>
      <c r="B976" s="220"/>
      <c r="C976" s="220"/>
      <c r="D976" s="220"/>
      <c r="E976" s="220"/>
      <c r="F976" s="220"/>
      <c r="G976" s="220"/>
      <c r="H976" s="222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220"/>
      <c r="AJ976" s="220"/>
    </row>
    <row r="977" spans="1:36" ht="15.75" customHeight="1">
      <c r="A977" s="221"/>
      <c r="B977" s="220"/>
      <c r="C977" s="220"/>
      <c r="D977" s="220"/>
      <c r="E977" s="220"/>
      <c r="F977" s="220"/>
      <c r="G977" s="220"/>
      <c r="H977" s="222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220"/>
      <c r="AJ977" s="220"/>
    </row>
    <row r="978" spans="1:36" ht="15.75" customHeight="1">
      <c r="A978" s="221"/>
      <c r="B978" s="220"/>
      <c r="C978" s="220"/>
      <c r="D978" s="220"/>
      <c r="E978" s="220"/>
      <c r="F978" s="220"/>
      <c r="G978" s="220"/>
      <c r="H978" s="222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220"/>
      <c r="AJ978" s="220"/>
    </row>
    <row r="979" spans="1:36" ht="15.75" customHeight="1">
      <c r="A979" s="221"/>
      <c r="B979" s="220"/>
      <c r="C979" s="220"/>
      <c r="D979" s="220"/>
      <c r="E979" s="220"/>
      <c r="F979" s="220"/>
      <c r="G979" s="220"/>
      <c r="H979" s="222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220"/>
      <c r="AJ979" s="220"/>
    </row>
    <row r="980" spans="1:36" ht="15.75" customHeight="1">
      <c r="A980" s="221"/>
      <c r="B980" s="220"/>
      <c r="C980" s="220"/>
      <c r="D980" s="220"/>
      <c r="E980" s="220"/>
      <c r="F980" s="220"/>
      <c r="G980" s="220"/>
      <c r="H980" s="222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220"/>
      <c r="AJ980" s="220"/>
    </row>
    <row r="981" spans="1:36" ht="15.75" customHeight="1">
      <c r="A981" s="221"/>
      <c r="B981" s="220"/>
      <c r="C981" s="220"/>
      <c r="D981" s="220"/>
      <c r="E981" s="220"/>
      <c r="F981" s="220"/>
      <c r="G981" s="220"/>
      <c r="H981" s="222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220"/>
      <c r="AJ981" s="220"/>
    </row>
    <row r="982" spans="1:36" ht="15.75" customHeight="1">
      <c r="A982" s="221"/>
      <c r="B982" s="220"/>
      <c r="C982" s="220"/>
      <c r="D982" s="220"/>
      <c r="E982" s="220"/>
      <c r="F982" s="220"/>
      <c r="G982" s="220"/>
      <c r="H982" s="222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</row>
    <row r="983" spans="1:36" ht="15.75" customHeight="1">
      <c r="A983" s="221"/>
      <c r="B983" s="220"/>
      <c r="C983" s="220"/>
      <c r="D983" s="220"/>
      <c r="E983" s="220"/>
      <c r="F983" s="220"/>
      <c r="G983" s="220"/>
      <c r="H983" s="222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220"/>
      <c r="AJ983" s="220"/>
    </row>
    <row r="984" spans="1:36" ht="15.75" customHeight="1">
      <c r="A984" s="221"/>
      <c r="B984" s="220"/>
      <c r="C984" s="220"/>
      <c r="D984" s="220"/>
      <c r="E984" s="220"/>
      <c r="F984" s="220"/>
      <c r="G984" s="220"/>
      <c r="H984" s="222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220"/>
      <c r="AJ984" s="220"/>
    </row>
    <row r="985" spans="1:36" ht="15.75" customHeight="1">
      <c r="A985" s="221"/>
      <c r="B985" s="220"/>
      <c r="C985" s="220"/>
      <c r="D985" s="220"/>
      <c r="E985" s="220"/>
      <c r="F985" s="220"/>
      <c r="G985" s="220"/>
      <c r="H985" s="222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220"/>
      <c r="AJ985" s="220"/>
    </row>
    <row r="986" spans="1:36" ht="15.75" customHeight="1">
      <c r="A986" s="221"/>
      <c r="B986" s="220"/>
      <c r="C986" s="220"/>
      <c r="D986" s="220"/>
      <c r="E986" s="220"/>
      <c r="F986" s="220"/>
      <c r="G986" s="220"/>
      <c r="H986" s="222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220"/>
      <c r="AJ986" s="220"/>
    </row>
    <row r="987" spans="1:36" ht="15.75" customHeight="1">
      <c r="A987" s="221"/>
      <c r="B987" s="220"/>
      <c r="C987" s="220"/>
      <c r="D987" s="220"/>
      <c r="E987" s="220"/>
      <c r="F987" s="220"/>
      <c r="G987" s="220"/>
      <c r="H987" s="222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220"/>
      <c r="AJ987" s="220"/>
    </row>
    <row r="988" spans="1:36" ht="15.75" customHeight="1">
      <c r="A988" s="221"/>
      <c r="B988" s="220"/>
      <c r="C988" s="220"/>
      <c r="D988" s="220"/>
      <c r="E988" s="220"/>
      <c r="F988" s="220"/>
      <c r="G988" s="220"/>
      <c r="H988" s="222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220"/>
      <c r="AJ988" s="220"/>
    </row>
    <row r="989" spans="1:36" ht="15.75" customHeight="1">
      <c r="A989" s="221"/>
      <c r="B989" s="220"/>
      <c r="C989" s="220"/>
      <c r="D989" s="220"/>
      <c r="E989" s="220"/>
      <c r="F989" s="220"/>
      <c r="G989" s="220"/>
      <c r="H989" s="222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220"/>
      <c r="AJ989" s="220"/>
    </row>
    <row r="990" spans="1:36" ht="15.75" customHeight="1">
      <c r="A990" s="221"/>
      <c r="B990" s="220"/>
      <c r="C990" s="220"/>
      <c r="D990" s="220"/>
      <c r="E990" s="220"/>
      <c r="F990" s="220"/>
      <c r="G990" s="220"/>
      <c r="H990" s="222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220"/>
      <c r="AJ990" s="220"/>
    </row>
    <row r="991" spans="1:36" ht="15.75" customHeight="1">
      <c r="A991" s="221"/>
      <c r="B991" s="220"/>
      <c r="C991" s="220"/>
      <c r="D991" s="220"/>
      <c r="E991" s="220"/>
      <c r="F991" s="220"/>
      <c r="G991" s="220"/>
      <c r="H991" s="222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220"/>
      <c r="AJ991" s="220"/>
    </row>
    <row r="992" spans="1:36" ht="15.75" customHeight="1">
      <c r="A992" s="221"/>
      <c r="B992" s="220"/>
      <c r="C992" s="220"/>
      <c r="D992" s="220"/>
      <c r="E992" s="220"/>
      <c r="F992" s="220"/>
      <c r="G992" s="220"/>
      <c r="H992" s="222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220"/>
      <c r="AJ992" s="220"/>
    </row>
    <row r="993" spans="1:36" ht="15.75" customHeight="1">
      <c r="A993" s="221"/>
      <c r="B993" s="220"/>
      <c r="C993" s="220"/>
      <c r="D993" s="220"/>
      <c r="E993" s="220"/>
      <c r="F993" s="220"/>
      <c r="G993" s="220"/>
      <c r="H993" s="222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220"/>
      <c r="AJ993" s="220"/>
    </row>
    <row r="994" spans="1:36" ht="15.75" customHeight="1">
      <c r="A994" s="221"/>
      <c r="B994" s="220"/>
      <c r="C994" s="220"/>
      <c r="D994" s="220"/>
      <c r="E994" s="220"/>
      <c r="F994" s="220"/>
      <c r="G994" s="220"/>
      <c r="H994" s="222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220"/>
      <c r="AJ994" s="220"/>
    </row>
    <row r="995" spans="1:36" ht="15.75" customHeight="1">
      <c r="A995" s="221"/>
      <c r="B995" s="220"/>
      <c r="C995" s="220"/>
      <c r="D995" s="220"/>
      <c r="E995" s="220"/>
      <c r="F995" s="220"/>
      <c r="G995" s="220"/>
      <c r="H995" s="222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220"/>
      <c r="AJ995" s="220"/>
    </row>
    <row r="996" spans="1:36" ht="15.75" customHeight="1">
      <c r="A996" s="221"/>
      <c r="B996" s="220"/>
      <c r="C996" s="220"/>
      <c r="D996" s="220"/>
      <c r="E996" s="220"/>
      <c r="F996" s="220"/>
      <c r="G996" s="220"/>
      <c r="H996" s="222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220"/>
      <c r="AJ996" s="220"/>
    </row>
    <row r="997" spans="1:36" ht="15.75" customHeight="1">
      <c r="A997" s="221"/>
      <c r="B997" s="220"/>
      <c r="C997" s="220"/>
      <c r="D997" s="220"/>
      <c r="E997" s="220"/>
      <c r="F997" s="220"/>
      <c r="G997" s="220"/>
      <c r="H997" s="222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220"/>
      <c r="AJ997" s="220"/>
    </row>
    <row r="998" spans="1:36" ht="15.75" customHeight="1">
      <c r="A998" s="221"/>
      <c r="B998" s="220"/>
      <c r="C998" s="220"/>
      <c r="D998" s="220"/>
      <c r="E998" s="220"/>
      <c r="F998" s="220"/>
      <c r="G998" s="220"/>
      <c r="H998" s="222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  <c r="AH998" s="220"/>
      <c r="AI998" s="220"/>
      <c r="AJ998" s="220"/>
    </row>
    <row r="999" spans="1:36" ht="15.75" customHeight="1">
      <c r="A999" s="221"/>
      <c r="B999" s="220"/>
      <c r="C999" s="220"/>
      <c r="D999" s="220"/>
      <c r="E999" s="220"/>
      <c r="F999" s="220"/>
      <c r="G999" s="220"/>
      <c r="H999" s="222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  <c r="AH999" s="220"/>
      <c r="AI999" s="220"/>
      <c r="AJ999" s="220"/>
    </row>
    <row r="1000" spans="1:36" ht="15.75" customHeight="1">
      <c r="A1000" s="221"/>
      <c r="B1000" s="220"/>
      <c r="C1000" s="220"/>
      <c r="D1000" s="220"/>
      <c r="E1000" s="220"/>
      <c r="F1000" s="220"/>
      <c r="G1000" s="220"/>
      <c r="H1000" s="222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  <c r="AH1000" s="220"/>
      <c r="AI1000" s="220"/>
      <c r="AJ1000" s="220"/>
    </row>
    <row r="1001" spans="1:36" ht="15.75" customHeight="1">
      <c r="A1001" s="221"/>
      <c r="B1001" s="220"/>
      <c r="C1001" s="220"/>
      <c r="D1001" s="220"/>
      <c r="E1001" s="220"/>
      <c r="F1001" s="220"/>
      <c r="G1001" s="220"/>
      <c r="H1001" s="222"/>
      <c r="I1001" s="220"/>
      <c r="J1001" s="220"/>
      <c r="K1001" s="220"/>
      <c r="L1001" s="220"/>
      <c r="M1001" s="220"/>
      <c r="N1001" s="220"/>
      <c r="O1001" s="220"/>
      <c r="P1001" s="220"/>
      <c r="Q1001" s="220"/>
      <c r="R1001" s="220"/>
      <c r="S1001" s="220"/>
      <c r="T1001" s="220"/>
      <c r="U1001" s="220"/>
      <c r="V1001" s="220"/>
      <c r="W1001" s="220"/>
      <c r="X1001" s="220"/>
      <c r="Y1001" s="220"/>
      <c r="Z1001" s="220"/>
      <c r="AA1001" s="220"/>
      <c r="AB1001" s="220"/>
      <c r="AC1001" s="220"/>
      <c r="AD1001" s="220"/>
      <c r="AE1001" s="220"/>
      <c r="AF1001" s="220"/>
      <c r="AG1001" s="220"/>
      <c r="AH1001" s="220"/>
      <c r="AI1001" s="220"/>
      <c r="AJ1001" s="220"/>
    </row>
    <row r="1002" spans="1:36" ht="15.75" customHeight="1">
      <c r="A1002" s="221"/>
      <c r="B1002" s="220"/>
      <c r="C1002" s="220"/>
      <c r="D1002" s="220"/>
      <c r="E1002" s="220"/>
      <c r="F1002" s="220"/>
      <c r="G1002" s="220"/>
      <c r="H1002" s="222"/>
      <c r="I1002" s="220"/>
      <c r="J1002" s="220"/>
      <c r="K1002" s="220"/>
      <c r="L1002" s="220"/>
      <c r="M1002" s="220"/>
      <c r="N1002" s="220"/>
      <c r="O1002" s="220"/>
      <c r="P1002" s="220"/>
      <c r="Q1002" s="220"/>
      <c r="R1002" s="220"/>
      <c r="S1002" s="220"/>
      <c r="T1002" s="220"/>
      <c r="U1002" s="220"/>
      <c r="V1002" s="220"/>
      <c r="W1002" s="220"/>
      <c r="X1002" s="220"/>
      <c r="Y1002" s="220"/>
      <c r="Z1002" s="220"/>
      <c r="AA1002" s="220"/>
      <c r="AB1002" s="220"/>
      <c r="AC1002" s="220"/>
      <c r="AD1002" s="220"/>
      <c r="AE1002" s="220"/>
      <c r="AF1002" s="220"/>
      <c r="AG1002" s="220"/>
      <c r="AH1002" s="220"/>
      <c r="AI1002" s="220"/>
      <c r="AJ1002" s="220"/>
    </row>
    <row r="1003" spans="1:36" ht="15.75" customHeight="1">
      <c r="A1003" s="221"/>
      <c r="B1003" s="220"/>
      <c r="C1003" s="220"/>
      <c r="D1003" s="220"/>
      <c r="E1003" s="220"/>
      <c r="F1003" s="220"/>
      <c r="G1003" s="220"/>
      <c r="H1003" s="222"/>
      <c r="I1003" s="220"/>
      <c r="J1003" s="220"/>
      <c r="K1003" s="220"/>
      <c r="L1003" s="220"/>
      <c r="M1003" s="220"/>
      <c r="N1003" s="220"/>
      <c r="O1003" s="220"/>
      <c r="P1003" s="220"/>
      <c r="Q1003" s="220"/>
      <c r="R1003" s="220"/>
      <c r="S1003" s="220"/>
      <c r="T1003" s="220"/>
      <c r="U1003" s="220"/>
      <c r="V1003" s="220"/>
      <c r="W1003" s="220"/>
      <c r="X1003" s="220"/>
      <c r="Y1003" s="220"/>
      <c r="Z1003" s="220"/>
      <c r="AA1003" s="220"/>
      <c r="AB1003" s="220"/>
      <c r="AC1003" s="220"/>
      <c r="AD1003" s="220"/>
      <c r="AE1003" s="220"/>
      <c r="AF1003" s="220"/>
      <c r="AG1003" s="220"/>
      <c r="AH1003" s="220"/>
      <c r="AI1003" s="220"/>
      <c r="AJ1003" s="220"/>
    </row>
    <row r="1004" spans="1:36" ht="15.75" customHeight="1">
      <c r="A1004" s="221"/>
      <c r="B1004" s="220"/>
      <c r="C1004" s="220"/>
      <c r="D1004" s="220"/>
      <c r="E1004" s="220"/>
      <c r="F1004" s="220"/>
      <c r="G1004" s="220"/>
      <c r="H1004" s="222"/>
      <c r="I1004" s="220"/>
      <c r="J1004" s="220"/>
      <c r="K1004" s="220"/>
      <c r="L1004" s="220"/>
      <c r="M1004" s="220"/>
      <c r="N1004" s="220"/>
      <c r="O1004" s="220"/>
      <c r="P1004" s="220"/>
      <c r="Q1004" s="220"/>
      <c r="R1004" s="220"/>
      <c r="S1004" s="220"/>
      <c r="T1004" s="220"/>
      <c r="U1004" s="220"/>
      <c r="V1004" s="220"/>
      <c r="W1004" s="220"/>
      <c r="X1004" s="220"/>
      <c r="Y1004" s="220"/>
      <c r="Z1004" s="220"/>
      <c r="AA1004" s="220"/>
      <c r="AB1004" s="220"/>
      <c r="AC1004" s="220"/>
      <c r="AD1004" s="220"/>
      <c r="AE1004" s="220"/>
      <c r="AF1004" s="220"/>
      <c r="AG1004" s="220"/>
      <c r="AH1004" s="220"/>
      <c r="AI1004" s="220"/>
      <c r="AJ1004" s="220"/>
    </row>
    <row r="1005" spans="1:36" ht="15.75" customHeight="1">
      <c r="A1005" s="221"/>
      <c r="B1005" s="220"/>
      <c r="C1005" s="220"/>
      <c r="D1005" s="220"/>
      <c r="E1005" s="220"/>
      <c r="F1005" s="220"/>
      <c r="G1005" s="220"/>
      <c r="H1005" s="222"/>
      <c r="I1005" s="220"/>
      <c r="J1005" s="220"/>
      <c r="K1005" s="220"/>
      <c r="L1005" s="220"/>
      <c r="M1005" s="220"/>
      <c r="N1005" s="220"/>
      <c r="O1005" s="220"/>
      <c r="P1005" s="220"/>
      <c r="Q1005" s="220"/>
      <c r="R1005" s="220"/>
      <c r="S1005" s="220"/>
      <c r="T1005" s="220"/>
      <c r="U1005" s="220"/>
      <c r="V1005" s="220"/>
      <c r="W1005" s="220"/>
      <c r="X1005" s="220"/>
      <c r="Y1005" s="220"/>
      <c r="Z1005" s="220"/>
      <c r="AA1005" s="220"/>
      <c r="AB1005" s="220"/>
      <c r="AC1005" s="220"/>
      <c r="AD1005" s="220"/>
      <c r="AE1005" s="220"/>
      <c r="AF1005" s="220"/>
      <c r="AG1005" s="220"/>
      <c r="AH1005" s="220"/>
      <c r="AI1005" s="220"/>
      <c r="AJ1005" s="220"/>
    </row>
    <row r="1006" spans="1:36" ht="15.75" customHeight="1">
      <c r="A1006" s="221"/>
      <c r="B1006" s="220"/>
      <c r="C1006" s="220"/>
      <c r="D1006" s="220"/>
      <c r="E1006" s="220"/>
      <c r="F1006" s="220"/>
      <c r="G1006" s="220"/>
      <c r="H1006" s="222"/>
      <c r="I1006" s="220"/>
      <c r="J1006" s="220"/>
      <c r="K1006" s="220"/>
      <c r="L1006" s="220"/>
      <c r="M1006" s="220"/>
      <c r="N1006" s="220"/>
      <c r="O1006" s="220"/>
      <c r="P1006" s="220"/>
      <c r="Q1006" s="220"/>
      <c r="R1006" s="220"/>
      <c r="S1006" s="220"/>
      <c r="T1006" s="220"/>
      <c r="U1006" s="220"/>
      <c r="V1006" s="220"/>
      <c r="W1006" s="220"/>
      <c r="X1006" s="220"/>
      <c r="Y1006" s="220"/>
      <c r="Z1006" s="220"/>
      <c r="AA1006" s="220"/>
      <c r="AB1006" s="220"/>
      <c r="AC1006" s="220"/>
      <c r="AD1006" s="220"/>
      <c r="AE1006" s="220"/>
      <c r="AF1006" s="220"/>
      <c r="AG1006" s="220"/>
      <c r="AH1006" s="220"/>
      <c r="AI1006" s="220"/>
      <c r="AJ1006" s="220"/>
    </row>
    <row r="1007" spans="1:36" ht="15.75" customHeight="1">
      <c r="A1007" s="221"/>
      <c r="B1007" s="220"/>
      <c r="C1007" s="220"/>
      <c r="D1007" s="220"/>
      <c r="E1007" s="220"/>
      <c r="F1007" s="220"/>
      <c r="G1007" s="220"/>
      <c r="H1007" s="222"/>
      <c r="I1007" s="220"/>
      <c r="J1007" s="220"/>
      <c r="K1007" s="220"/>
      <c r="L1007" s="220"/>
      <c r="M1007" s="220"/>
      <c r="N1007" s="220"/>
      <c r="O1007" s="220"/>
      <c r="P1007" s="220"/>
      <c r="Q1007" s="220"/>
      <c r="R1007" s="220"/>
      <c r="S1007" s="220"/>
      <c r="T1007" s="220"/>
      <c r="U1007" s="220"/>
      <c r="V1007" s="220"/>
      <c r="W1007" s="220"/>
      <c r="X1007" s="220"/>
      <c r="Y1007" s="220"/>
      <c r="Z1007" s="220"/>
      <c r="AA1007" s="220"/>
      <c r="AB1007" s="220"/>
      <c r="AC1007" s="220"/>
      <c r="AD1007" s="220"/>
      <c r="AE1007" s="220"/>
      <c r="AF1007" s="220"/>
      <c r="AG1007" s="220"/>
      <c r="AH1007" s="220"/>
      <c r="AI1007" s="220"/>
      <c r="AJ1007" s="220"/>
    </row>
    <row r="1008" spans="1:36" ht="15.75" customHeight="1">
      <c r="A1008" s="221"/>
      <c r="B1008" s="220"/>
      <c r="C1008" s="220"/>
      <c r="D1008" s="220"/>
      <c r="E1008" s="220"/>
      <c r="F1008" s="220"/>
      <c r="G1008" s="220"/>
      <c r="H1008" s="222"/>
      <c r="I1008" s="220"/>
      <c r="J1008" s="220"/>
      <c r="K1008" s="220"/>
      <c r="L1008" s="220"/>
      <c r="M1008" s="220"/>
      <c r="N1008" s="220"/>
      <c r="O1008" s="220"/>
      <c r="P1008" s="220"/>
      <c r="Q1008" s="220"/>
      <c r="R1008" s="220"/>
      <c r="S1008" s="220"/>
      <c r="T1008" s="220"/>
      <c r="U1008" s="220"/>
      <c r="V1008" s="220"/>
      <c r="W1008" s="220"/>
      <c r="X1008" s="220"/>
      <c r="Y1008" s="220"/>
      <c r="Z1008" s="220"/>
      <c r="AA1008" s="220"/>
      <c r="AB1008" s="220"/>
      <c r="AC1008" s="220"/>
      <c r="AD1008" s="220"/>
      <c r="AE1008" s="220"/>
      <c r="AF1008" s="220"/>
      <c r="AG1008" s="220"/>
      <c r="AH1008" s="220"/>
      <c r="AI1008" s="220"/>
      <c r="AJ1008" s="220"/>
    </row>
    <row r="1009" spans="1:36" ht="15.75" customHeight="1">
      <c r="A1009" s="221"/>
      <c r="B1009" s="220"/>
      <c r="C1009" s="220"/>
      <c r="D1009" s="220"/>
      <c r="E1009" s="220"/>
      <c r="F1009" s="220"/>
      <c r="G1009" s="220"/>
      <c r="H1009" s="222"/>
      <c r="I1009" s="220"/>
      <c r="J1009" s="220"/>
      <c r="K1009" s="220"/>
      <c r="L1009" s="220"/>
      <c r="M1009" s="220"/>
      <c r="N1009" s="220"/>
      <c r="O1009" s="220"/>
      <c r="P1009" s="220"/>
      <c r="Q1009" s="220"/>
      <c r="R1009" s="220"/>
      <c r="S1009" s="220"/>
      <c r="T1009" s="220"/>
      <c r="U1009" s="220"/>
      <c r="V1009" s="220"/>
      <c r="W1009" s="220"/>
      <c r="X1009" s="220"/>
      <c r="Y1009" s="220"/>
      <c r="Z1009" s="220"/>
      <c r="AA1009" s="220"/>
      <c r="AB1009" s="220"/>
      <c r="AC1009" s="220"/>
      <c r="AD1009" s="220"/>
      <c r="AE1009" s="220"/>
      <c r="AF1009" s="220"/>
      <c r="AG1009" s="220"/>
      <c r="AH1009" s="220"/>
      <c r="AI1009" s="220"/>
      <c r="AJ1009" s="220"/>
    </row>
    <row r="1010" spans="1:36" ht="15.75" customHeight="1">
      <c r="A1010" s="221"/>
      <c r="B1010" s="220"/>
      <c r="C1010" s="220"/>
      <c r="D1010" s="220"/>
      <c r="E1010" s="220"/>
      <c r="F1010" s="220"/>
      <c r="G1010" s="220"/>
      <c r="H1010" s="222"/>
      <c r="I1010" s="220"/>
      <c r="J1010" s="220"/>
      <c r="K1010" s="220"/>
      <c r="L1010" s="220"/>
      <c r="M1010" s="220"/>
      <c r="N1010" s="220"/>
      <c r="O1010" s="220"/>
      <c r="P1010" s="220"/>
      <c r="Q1010" s="220"/>
      <c r="R1010" s="220"/>
      <c r="S1010" s="220"/>
      <c r="T1010" s="220"/>
      <c r="U1010" s="220"/>
      <c r="V1010" s="220"/>
      <c r="W1010" s="220"/>
      <c r="X1010" s="220"/>
      <c r="Y1010" s="220"/>
      <c r="Z1010" s="220"/>
      <c r="AA1010" s="220"/>
      <c r="AB1010" s="220"/>
      <c r="AC1010" s="220"/>
      <c r="AD1010" s="220"/>
      <c r="AE1010" s="220"/>
      <c r="AF1010" s="220"/>
      <c r="AG1010" s="220"/>
      <c r="AH1010" s="220"/>
      <c r="AI1010" s="220"/>
      <c r="AJ1010" s="220"/>
    </row>
    <row r="1011" spans="1:36" ht="15.75" customHeight="1">
      <c r="A1011" s="221"/>
      <c r="B1011" s="220"/>
      <c r="C1011" s="220"/>
      <c r="D1011" s="220"/>
      <c r="E1011" s="220"/>
      <c r="F1011" s="220"/>
      <c r="G1011" s="220"/>
      <c r="H1011" s="222"/>
      <c r="I1011" s="220"/>
      <c r="J1011" s="220"/>
      <c r="K1011" s="220"/>
      <c r="L1011" s="220"/>
      <c r="M1011" s="220"/>
      <c r="N1011" s="220"/>
      <c r="O1011" s="220"/>
      <c r="P1011" s="220"/>
      <c r="Q1011" s="220"/>
      <c r="R1011" s="220"/>
      <c r="S1011" s="220"/>
      <c r="T1011" s="220"/>
      <c r="U1011" s="220"/>
      <c r="V1011" s="220"/>
      <c r="W1011" s="220"/>
      <c r="X1011" s="220"/>
      <c r="Y1011" s="220"/>
      <c r="Z1011" s="220"/>
      <c r="AA1011" s="220"/>
      <c r="AB1011" s="220"/>
      <c r="AC1011" s="220"/>
      <c r="AD1011" s="220"/>
      <c r="AE1011" s="220"/>
      <c r="AF1011" s="220"/>
      <c r="AG1011" s="220"/>
      <c r="AH1011" s="220"/>
      <c r="AI1011" s="220"/>
      <c r="AJ1011" s="220"/>
    </row>
    <row r="1012" spans="1:36" ht="15.75" customHeight="1">
      <c r="A1012" s="221"/>
      <c r="B1012" s="220"/>
      <c r="C1012" s="220"/>
      <c r="D1012" s="220"/>
      <c r="E1012" s="220"/>
      <c r="F1012" s="220"/>
      <c r="G1012" s="220"/>
      <c r="H1012" s="222"/>
      <c r="I1012" s="220"/>
      <c r="J1012" s="220"/>
      <c r="K1012" s="220"/>
      <c r="L1012" s="220"/>
      <c r="M1012" s="220"/>
      <c r="N1012" s="220"/>
      <c r="O1012" s="220"/>
      <c r="P1012" s="220"/>
      <c r="Q1012" s="220"/>
      <c r="R1012" s="220"/>
      <c r="S1012" s="220"/>
      <c r="T1012" s="220"/>
      <c r="U1012" s="220"/>
      <c r="V1012" s="220"/>
      <c r="W1012" s="220"/>
      <c r="X1012" s="220"/>
      <c r="Y1012" s="220"/>
      <c r="Z1012" s="220"/>
      <c r="AA1012" s="220"/>
      <c r="AB1012" s="220"/>
      <c r="AC1012" s="220"/>
      <c r="AD1012" s="220"/>
      <c r="AE1012" s="220"/>
      <c r="AF1012" s="220"/>
      <c r="AG1012" s="220"/>
      <c r="AH1012" s="220"/>
      <c r="AI1012" s="220"/>
      <c r="AJ1012" s="220"/>
    </row>
    <row r="1013" spans="1:36" ht="15.75" customHeight="1">
      <c r="A1013" s="221"/>
      <c r="B1013" s="220"/>
      <c r="C1013" s="220"/>
      <c r="D1013" s="220"/>
      <c r="E1013" s="220"/>
      <c r="F1013" s="220"/>
      <c r="G1013" s="220"/>
      <c r="H1013" s="222"/>
      <c r="I1013" s="220"/>
      <c r="J1013" s="220"/>
      <c r="K1013" s="220"/>
      <c r="L1013" s="220"/>
      <c r="M1013" s="220"/>
      <c r="N1013" s="220"/>
      <c r="O1013" s="220"/>
      <c r="P1013" s="220"/>
      <c r="Q1013" s="220"/>
      <c r="R1013" s="220"/>
      <c r="S1013" s="220"/>
      <c r="T1013" s="220"/>
      <c r="U1013" s="220"/>
      <c r="V1013" s="220"/>
      <c r="W1013" s="220"/>
      <c r="X1013" s="220"/>
      <c r="Y1013" s="220"/>
      <c r="Z1013" s="220"/>
      <c r="AA1013" s="220"/>
      <c r="AB1013" s="220"/>
      <c r="AC1013" s="220"/>
      <c r="AD1013" s="220"/>
      <c r="AE1013" s="220"/>
      <c r="AF1013" s="220"/>
      <c r="AG1013" s="220"/>
      <c r="AH1013" s="220"/>
      <c r="AI1013" s="220"/>
      <c r="AJ1013" s="220"/>
    </row>
    <row r="1014" spans="1:36" ht="15.75" customHeight="1">
      <c r="A1014" s="221"/>
      <c r="B1014" s="220"/>
      <c r="C1014" s="220"/>
      <c r="D1014" s="220"/>
      <c r="E1014" s="220"/>
      <c r="F1014" s="220"/>
      <c r="G1014" s="220"/>
      <c r="H1014" s="222"/>
      <c r="I1014" s="220"/>
      <c r="J1014" s="220"/>
      <c r="K1014" s="220"/>
      <c r="L1014" s="220"/>
      <c r="M1014" s="220"/>
      <c r="N1014" s="220"/>
      <c r="O1014" s="220"/>
      <c r="P1014" s="220"/>
      <c r="Q1014" s="220"/>
      <c r="R1014" s="220"/>
      <c r="S1014" s="220"/>
      <c r="T1014" s="220"/>
      <c r="U1014" s="220"/>
      <c r="V1014" s="220"/>
      <c r="W1014" s="220"/>
      <c r="X1014" s="220"/>
      <c r="Y1014" s="220"/>
      <c r="Z1014" s="220"/>
      <c r="AA1014" s="220"/>
      <c r="AB1014" s="220"/>
      <c r="AC1014" s="220"/>
      <c r="AD1014" s="220"/>
      <c r="AE1014" s="220"/>
      <c r="AF1014" s="220"/>
      <c r="AG1014" s="220"/>
      <c r="AH1014" s="220"/>
      <c r="AI1014" s="220"/>
      <c r="AJ1014" s="220"/>
    </row>
    <row r="1015" spans="1:36" ht="15.75" customHeight="1">
      <c r="A1015" s="221"/>
      <c r="B1015" s="220"/>
      <c r="C1015" s="220"/>
      <c r="D1015" s="220"/>
      <c r="E1015" s="220"/>
      <c r="F1015" s="220"/>
      <c r="G1015" s="220"/>
      <c r="H1015" s="222"/>
      <c r="I1015" s="220"/>
      <c r="J1015" s="220"/>
      <c r="K1015" s="220"/>
      <c r="L1015" s="220"/>
      <c r="M1015" s="220"/>
      <c r="N1015" s="220"/>
      <c r="O1015" s="220"/>
      <c r="P1015" s="220"/>
      <c r="Q1015" s="220"/>
      <c r="R1015" s="220"/>
      <c r="S1015" s="220"/>
      <c r="T1015" s="220"/>
      <c r="U1015" s="220"/>
      <c r="V1015" s="220"/>
      <c r="W1015" s="220"/>
      <c r="X1015" s="220"/>
      <c r="Y1015" s="220"/>
      <c r="Z1015" s="220"/>
      <c r="AA1015" s="220"/>
      <c r="AB1015" s="220"/>
      <c r="AC1015" s="220"/>
      <c r="AD1015" s="220"/>
      <c r="AE1015" s="220"/>
      <c r="AF1015" s="220"/>
      <c r="AG1015" s="220"/>
      <c r="AH1015" s="220"/>
      <c r="AI1015" s="220"/>
      <c r="AJ1015" s="220"/>
    </row>
    <row r="1016" spans="1:36" ht="15.75" customHeight="1">
      <c r="A1016" s="221"/>
      <c r="B1016" s="220"/>
      <c r="C1016" s="220"/>
      <c r="D1016" s="220"/>
      <c r="E1016" s="220"/>
      <c r="F1016" s="220"/>
      <c r="G1016" s="220"/>
      <c r="H1016" s="222"/>
      <c r="I1016" s="220"/>
      <c r="J1016" s="220"/>
      <c r="K1016" s="220"/>
      <c r="L1016" s="220"/>
      <c r="M1016" s="220"/>
      <c r="N1016" s="220"/>
      <c r="O1016" s="220"/>
      <c r="P1016" s="220"/>
      <c r="Q1016" s="220"/>
      <c r="R1016" s="220"/>
      <c r="S1016" s="220"/>
      <c r="T1016" s="220"/>
      <c r="U1016" s="220"/>
      <c r="V1016" s="220"/>
      <c r="W1016" s="220"/>
      <c r="X1016" s="220"/>
      <c r="Y1016" s="220"/>
      <c r="Z1016" s="220"/>
      <c r="AA1016" s="220"/>
      <c r="AB1016" s="220"/>
      <c r="AC1016" s="220"/>
      <c r="AD1016" s="220"/>
      <c r="AE1016" s="220"/>
      <c r="AF1016" s="220"/>
      <c r="AG1016" s="220"/>
      <c r="AH1016" s="220"/>
      <c r="AI1016" s="220"/>
      <c r="AJ1016" s="220"/>
    </row>
    <row r="1017" spans="1:36" ht="15.75" customHeight="1">
      <c r="A1017" s="221"/>
      <c r="B1017" s="220"/>
      <c r="C1017" s="220"/>
      <c r="D1017" s="220"/>
      <c r="E1017" s="220"/>
      <c r="F1017" s="220"/>
      <c r="G1017" s="220"/>
      <c r="H1017" s="222"/>
      <c r="I1017" s="220"/>
      <c r="J1017" s="220"/>
      <c r="K1017" s="220"/>
      <c r="L1017" s="220"/>
      <c r="M1017" s="220"/>
      <c r="N1017" s="220"/>
      <c r="O1017" s="220"/>
      <c r="P1017" s="220"/>
      <c r="Q1017" s="220"/>
      <c r="R1017" s="220"/>
      <c r="S1017" s="220"/>
      <c r="T1017" s="220"/>
      <c r="U1017" s="220"/>
      <c r="V1017" s="220"/>
      <c r="W1017" s="220"/>
      <c r="X1017" s="220"/>
      <c r="Y1017" s="220"/>
      <c r="Z1017" s="220"/>
      <c r="AA1017" s="220"/>
      <c r="AB1017" s="220"/>
      <c r="AC1017" s="220"/>
      <c r="AD1017" s="220"/>
      <c r="AE1017" s="220"/>
      <c r="AF1017" s="220"/>
      <c r="AG1017" s="220"/>
      <c r="AH1017" s="220"/>
      <c r="AI1017" s="220"/>
      <c r="AJ1017" s="220"/>
    </row>
    <row r="1018" spans="1:36" ht="15.75" customHeight="1">
      <c r="A1018" s="221"/>
      <c r="B1018" s="220"/>
      <c r="C1018" s="220"/>
      <c r="D1018" s="220"/>
      <c r="E1018" s="220"/>
      <c r="F1018" s="220"/>
      <c r="G1018" s="220"/>
      <c r="H1018" s="222"/>
      <c r="I1018" s="220"/>
      <c r="J1018" s="220"/>
      <c r="K1018" s="220"/>
      <c r="L1018" s="220"/>
      <c r="M1018" s="220"/>
      <c r="N1018" s="220"/>
      <c r="O1018" s="220"/>
      <c r="P1018" s="220"/>
      <c r="Q1018" s="220"/>
      <c r="R1018" s="220"/>
      <c r="S1018" s="220"/>
      <c r="T1018" s="220"/>
      <c r="U1018" s="220"/>
      <c r="V1018" s="220"/>
      <c r="W1018" s="220"/>
      <c r="X1018" s="220"/>
      <c r="Y1018" s="220"/>
      <c r="Z1018" s="220"/>
      <c r="AA1018" s="220"/>
      <c r="AB1018" s="220"/>
      <c r="AC1018" s="220"/>
      <c r="AD1018" s="220"/>
      <c r="AE1018" s="220"/>
      <c r="AF1018" s="220"/>
      <c r="AG1018" s="220"/>
      <c r="AH1018" s="220"/>
      <c r="AI1018" s="220"/>
      <c r="AJ1018" s="220"/>
    </row>
    <row r="1019" spans="1:36" ht="15.75" customHeight="1">
      <c r="A1019" s="221"/>
      <c r="B1019" s="220"/>
      <c r="C1019" s="220"/>
      <c r="D1019" s="220"/>
      <c r="E1019" s="220"/>
      <c r="F1019" s="220"/>
      <c r="G1019" s="220"/>
      <c r="H1019" s="222"/>
      <c r="I1019" s="220"/>
      <c r="J1019" s="220"/>
      <c r="K1019" s="220"/>
      <c r="L1019" s="220"/>
      <c r="M1019" s="220"/>
      <c r="N1019" s="220"/>
      <c r="O1019" s="220"/>
      <c r="P1019" s="220"/>
      <c r="Q1019" s="220"/>
      <c r="R1019" s="220"/>
      <c r="S1019" s="220"/>
      <c r="T1019" s="220"/>
      <c r="U1019" s="220"/>
      <c r="V1019" s="220"/>
      <c r="W1019" s="220"/>
      <c r="X1019" s="220"/>
      <c r="Y1019" s="220"/>
      <c r="Z1019" s="220"/>
      <c r="AA1019" s="220"/>
      <c r="AB1019" s="220"/>
      <c r="AC1019" s="220"/>
      <c r="AD1019" s="220"/>
      <c r="AE1019" s="220"/>
      <c r="AF1019" s="220"/>
      <c r="AG1019" s="220"/>
      <c r="AH1019" s="220"/>
      <c r="AI1019" s="220"/>
      <c r="AJ1019" s="220"/>
    </row>
    <row r="1020" spans="1:36" ht="15.75" customHeight="1">
      <c r="A1020" s="221"/>
      <c r="B1020" s="220"/>
      <c r="C1020" s="220"/>
      <c r="D1020" s="220"/>
      <c r="E1020" s="220"/>
      <c r="F1020" s="220"/>
      <c r="G1020" s="220"/>
      <c r="H1020" s="222"/>
      <c r="I1020" s="220"/>
      <c r="J1020" s="220"/>
      <c r="K1020" s="220"/>
      <c r="L1020" s="220"/>
      <c r="M1020" s="220"/>
      <c r="N1020" s="220"/>
      <c r="O1020" s="220"/>
      <c r="P1020" s="220"/>
      <c r="Q1020" s="220"/>
      <c r="R1020" s="220"/>
      <c r="S1020" s="220"/>
      <c r="T1020" s="220"/>
      <c r="U1020" s="220"/>
      <c r="V1020" s="220"/>
      <c r="W1020" s="220"/>
      <c r="X1020" s="220"/>
      <c r="Y1020" s="220"/>
      <c r="Z1020" s="220"/>
      <c r="AA1020" s="220"/>
      <c r="AB1020" s="220"/>
      <c r="AC1020" s="220"/>
      <c r="AD1020" s="220"/>
      <c r="AE1020" s="220"/>
      <c r="AF1020" s="220"/>
      <c r="AG1020" s="220"/>
      <c r="AH1020" s="220"/>
      <c r="AI1020" s="220"/>
      <c r="AJ1020" s="220"/>
    </row>
    <row r="1021" spans="1:36" ht="15.75" customHeight="1">
      <c r="A1021" s="221"/>
      <c r="B1021" s="220"/>
      <c r="C1021" s="220"/>
      <c r="D1021" s="220"/>
      <c r="E1021" s="220"/>
      <c r="F1021" s="220"/>
      <c r="G1021" s="220"/>
      <c r="H1021" s="222"/>
      <c r="I1021" s="220"/>
      <c r="J1021" s="220"/>
      <c r="K1021" s="220"/>
      <c r="L1021" s="220"/>
      <c r="M1021" s="220"/>
      <c r="N1021" s="220"/>
      <c r="O1021" s="220"/>
      <c r="P1021" s="220"/>
      <c r="Q1021" s="220"/>
      <c r="R1021" s="220"/>
      <c r="S1021" s="220"/>
      <c r="T1021" s="220"/>
      <c r="U1021" s="220"/>
      <c r="V1021" s="220"/>
      <c r="W1021" s="220"/>
      <c r="X1021" s="220"/>
      <c r="Y1021" s="220"/>
      <c r="Z1021" s="220"/>
      <c r="AA1021" s="220"/>
      <c r="AB1021" s="220"/>
      <c r="AC1021" s="220"/>
      <c r="AD1021" s="220"/>
      <c r="AE1021" s="220"/>
      <c r="AF1021" s="220"/>
      <c r="AG1021" s="220"/>
      <c r="AH1021" s="220"/>
      <c r="AI1021" s="220"/>
      <c r="AJ1021" s="220"/>
    </row>
    <row r="1022" spans="1:36" ht="15.75" customHeight="1">
      <c r="A1022" s="221"/>
      <c r="B1022" s="220"/>
      <c r="C1022" s="220"/>
      <c r="D1022" s="220"/>
      <c r="E1022" s="220"/>
      <c r="F1022" s="220"/>
      <c r="G1022" s="220"/>
      <c r="H1022" s="222"/>
      <c r="I1022" s="220"/>
      <c r="J1022" s="220"/>
      <c r="K1022" s="220"/>
      <c r="L1022" s="220"/>
      <c r="M1022" s="220"/>
      <c r="N1022" s="220"/>
      <c r="O1022" s="220"/>
      <c r="P1022" s="220"/>
      <c r="Q1022" s="220"/>
      <c r="R1022" s="220"/>
      <c r="S1022" s="220"/>
      <c r="T1022" s="220"/>
      <c r="U1022" s="220"/>
      <c r="V1022" s="220"/>
      <c r="W1022" s="220"/>
      <c r="X1022" s="220"/>
      <c r="Y1022" s="220"/>
      <c r="Z1022" s="220"/>
      <c r="AA1022" s="220"/>
      <c r="AB1022" s="220"/>
      <c r="AC1022" s="220"/>
      <c r="AD1022" s="220"/>
      <c r="AE1022" s="220"/>
      <c r="AF1022" s="220"/>
      <c r="AG1022" s="220"/>
      <c r="AH1022" s="220"/>
      <c r="AI1022" s="220"/>
      <c r="AJ1022" s="220"/>
    </row>
    <row r="1023" spans="1:36" ht="15.75" customHeight="1">
      <c r="A1023" s="221"/>
      <c r="B1023" s="220"/>
      <c r="C1023" s="220"/>
      <c r="D1023" s="220"/>
      <c r="E1023" s="220"/>
      <c r="F1023" s="220"/>
      <c r="G1023" s="220"/>
      <c r="H1023" s="222"/>
      <c r="I1023" s="220"/>
      <c r="J1023" s="220"/>
      <c r="K1023" s="220"/>
      <c r="L1023" s="220"/>
      <c r="M1023" s="220"/>
      <c r="N1023" s="220"/>
      <c r="O1023" s="220"/>
      <c r="P1023" s="220"/>
      <c r="Q1023" s="220"/>
      <c r="R1023" s="220"/>
      <c r="S1023" s="220"/>
      <c r="T1023" s="220"/>
      <c r="U1023" s="220"/>
      <c r="V1023" s="220"/>
      <c r="W1023" s="220"/>
      <c r="X1023" s="220"/>
      <c r="Y1023" s="220"/>
      <c r="Z1023" s="220"/>
      <c r="AA1023" s="220"/>
      <c r="AB1023" s="220"/>
      <c r="AC1023" s="220"/>
      <c r="AD1023" s="220"/>
      <c r="AE1023" s="220"/>
      <c r="AF1023" s="220"/>
      <c r="AG1023" s="220"/>
      <c r="AH1023" s="220"/>
      <c r="AI1023" s="220"/>
      <c r="AJ1023" s="220"/>
    </row>
    <row r="1024" spans="1:36" ht="15.75" customHeight="1">
      <c r="A1024" s="221"/>
      <c r="B1024" s="220"/>
      <c r="C1024" s="220"/>
      <c r="D1024" s="220"/>
      <c r="E1024" s="220"/>
      <c r="F1024" s="220"/>
      <c r="G1024" s="220"/>
      <c r="H1024" s="222"/>
      <c r="I1024" s="220"/>
      <c r="J1024" s="220"/>
      <c r="K1024" s="220"/>
      <c r="L1024" s="220"/>
      <c r="M1024" s="220"/>
      <c r="N1024" s="220"/>
      <c r="O1024" s="220"/>
      <c r="P1024" s="220"/>
      <c r="Q1024" s="220"/>
      <c r="R1024" s="220"/>
      <c r="S1024" s="220"/>
      <c r="T1024" s="220"/>
      <c r="U1024" s="220"/>
      <c r="V1024" s="220"/>
      <c r="W1024" s="220"/>
      <c r="X1024" s="220"/>
      <c r="Y1024" s="220"/>
      <c r="Z1024" s="220"/>
      <c r="AA1024" s="220"/>
      <c r="AB1024" s="220"/>
      <c r="AC1024" s="220"/>
      <c r="AD1024" s="220"/>
      <c r="AE1024" s="220"/>
      <c r="AF1024" s="220"/>
      <c r="AG1024" s="220"/>
      <c r="AH1024" s="220"/>
      <c r="AI1024" s="220"/>
      <c r="AJ1024" s="220"/>
    </row>
    <row r="1025" spans="1:36" ht="15.75" customHeight="1">
      <c r="A1025" s="221"/>
      <c r="B1025" s="220"/>
      <c r="C1025" s="220"/>
      <c r="D1025" s="220"/>
      <c r="E1025" s="220"/>
      <c r="F1025" s="220"/>
      <c r="G1025" s="220"/>
      <c r="H1025" s="222"/>
      <c r="I1025" s="220"/>
      <c r="J1025" s="220"/>
      <c r="K1025" s="220"/>
      <c r="L1025" s="220"/>
      <c r="M1025" s="220"/>
      <c r="N1025" s="220"/>
      <c r="O1025" s="220"/>
      <c r="P1025" s="220"/>
      <c r="Q1025" s="220"/>
      <c r="R1025" s="220"/>
      <c r="S1025" s="220"/>
      <c r="T1025" s="220"/>
      <c r="U1025" s="220"/>
      <c r="V1025" s="220"/>
      <c r="W1025" s="220"/>
      <c r="X1025" s="220"/>
      <c r="Y1025" s="220"/>
      <c r="Z1025" s="220"/>
      <c r="AA1025" s="220"/>
      <c r="AB1025" s="220"/>
      <c r="AC1025" s="220"/>
      <c r="AD1025" s="220"/>
      <c r="AE1025" s="220"/>
      <c r="AF1025" s="220"/>
      <c r="AG1025" s="220"/>
      <c r="AH1025" s="220"/>
      <c r="AI1025" s="220"/>
      <c r="AJ1025" s="220"/>
    </row>
    <row r="1026" spans="1:36" ht="15.75" customHeight="1">
      <c r="A1026" s="221"/>
      <c r="B1026" s="220"/>
      <c r="C1026" s="220"/>
      <c r="D1026" s="220"/>
      <c r="E1026" s="220"/>
      <c r="F1026" s="220"/>
      <c r="G1026" s="220"/>
      <c r="H1026" s="222"/>
      <c r="I1026" s="220"/>
      <c r="J1026" s="220"/>
      <c r="K1026" s="220"/>
      <c r="L1026" s="220"/>
      <c r="M1026" s="220"/>
      <c r="N1026" s="220"/>
      <c r="O1026" s="220"/>
      <c r="P1026" s="220"/>
      <c r="Q1026" s="220"/>
      <c r="R1026" s="220"/>
      <c r="S1026" s="220"/>
      <c r="T1026" s="220"/>
      <c r="U1026" s="220"/>
      <c r="V1026" s="220"/>
      <c r="W1026" s="220"/>
      <c r="X1026" s="220"/>
      <c r="Y1026" s="220"/>
      <c r="Z1026" s="220"/>
      <c r="AA1026" s="220"/>
      <c r="AB1026" s="220"/>
      <c r="AC1026" s="220"/>
      <c r="AD1026" s="220"/>
      <c r="AE1026" s="220"/>
      <c r="AF1026" s="220"/>
      <c r="AG1026" s="220"/>
      <c r="AH1026" s="220"/>
      <c r="AI1026" s="220"/>
      <c r="AJ1026" s="220"/>
    </row>
    <row r="1027" spans="1:36" ht="15.75" customHeight="1">
      <c r="A1027" s="221"/>
      <c r="B1027" s="220"/>
      <c r="C1027" s="220"/>
      <c r="D1027" s="220"/>
      <c r="E1027" s="220"/>
      <c r="F1027" s="220"/>
      <c r="G1027" s="220"/>
      <c r="H1027" s="222"/>
      <c r="I1027" s="220"/>
      <c r="J1027" s="220"/>
      <c r="K1027" s="220"/>
      <c r="L1027" s="220"/>
      <c r="M1027" s="220"/>
      <c r="N1027" s="220"/>
      <c r="O1027" s="220"/>
      <c r="P1027" s="220"/>
      <c r="Q1027" s="220"/>
      <c r="R1027" s="220"/>
      <c r="S1027" s="220"/>
      <c r="T1027" s="220"/>
      <c r="U1027" s="220"/>
      <c r="V1027" s="220"/>
      <c r="W1027" s="220"/>
      <c r="X1027" s="220"/>
      <c r="Y1027" s="220"/>
      <c r="Z1027" s="220"/>
      <c r="AA1027" s="220"/>
      <c r="AB1027" s="220"/>
      <c r="AC1027" s="220"/>
      <c r="AD1027" s="220"/>
      <c r="AE1027" s="220"/>
      <c r="AF1027" s="220"/>
      <c r="AG1027" s="220"/>
      <c r="AH1027" s="220"/>
      <c r="AI1027" s="220"/>
      <c r="AJ1027" s="220"/>
    </row>
    <row r="1028" spans="1:36" ht="15.75" customHeight="1">
      <c r="A1028" s="221"/>
      <c r="B1028" s="220"/>
      <c r="C1028" s="220"/>
      <c r="D1028" s="220"/>
      <c r="E1028" s="220"/>
      <c r="F1028" s="220"/>
      <c r="G1028" s="220"/>
      <c r="H1028" s="222"/>
      <c r="I1028" s="220"/>
      <c r="J1028" s="220"/>
      <c r="K1028" s="220"/>
      <c r="L1028" s="220"/>
      <c r="M1028" s="220"/>
      <c r="N1028" s="220"/>
      <c r="O1028" s="220"/>
      <c r="P1028" s="220"/>
      <c r="Q1028" s="220"/>
      <c r="R1028" s="220"/>
      <c r="S1028" s="220"/>
      <c r="T1028" s="220"/>
      <c r="U1028" s="220"/>
      <c r="V1028" s="220"/>
      <c r="W1028" s="220"/>
      <c r="X1028" s="220"/>
      <c r="Y1028" s="220"/>
      <c r="Z1028" s="220"/>
      <c r="AA1028" s="220"/>
      <c r="AB1028" s="220"/>
      <c r="AC1028" s="220"/>
      <c r="AD1028" s="220"/>
      <c r="AE1028" s="220"/>
      <c r="AF1028" s="220"/>
      <c r="AG1028" s="220"/>
      <c r="AH1028" s="220"/>
      <c r="AI1028" s="220"/>
      <c r="AJ1028" s="220"/>
    </row>
    <row r="1029" spans="1:36" ht="15.75" customHeight="1">
      <c r="A1029" s="221"/>
      <c r="B1029" s="220"/>
      <c r="C1029" s="220"/>
      <c r="D1029" s="220"/>
      <c r="E1029" s="220"/>
      <c r="F1029" s="220"/>
      <c r="G1029" s="220"/>
      <c r="H1029" s="222"/>
      <c r="I1029" s="220"/>
      <c r="J1029" s="220"/>
      <c r="K1029" s="220"/>
      <c r="L1029" s="220"/>
      <c r="M1029" s="220"/>
      <c r="N1029" s="220"/>
      <c r="O1029" s="220"/>
      <c r="P1029" s="220"/>
      <c r="Q1029" s="220"/>
      <c r="R1029" s="220"/>
      <c r="S1029" s="220"/>
      <c r="T1029" s="220"/>
      <c r="U1029" s="220"/>
      <c r="V1029" s="220"/>
      <c r="W1029" s="220"/>
      <c r="X1029" s="220"/>
      <c r="Y1029" s="220"/>
      <c r="Z1029" s="220"/>
      <c r="AA1029" s="220"/>
      <c r="AB1029" s="220"/>
      <c r="AC1029" s="220"/>
      <c r="AD1029" s="220"/>
      <c r="AE1029" s="220"/>
      <c r="AF1029" s="220"/>
      <c r="AG1029" s="220"/>
      <c r="AH1029" s="220"/>
      <c r="AI1029" s="220"/>
      <c r="AJ1029" s="220"/>
    </row>
    <row r="1030" spans="1:36" ht="15.75" customHeight="1">
      <c r="A1030" s="221"/>
      <c r="B1030" s="220"/>
      <c r="C1030" s="220"/>
      <c r="D1030" s="220"/>
      <c r="E1030" s="220"/>
      <c r="F1030" s="220"/>
      <c r="G1030" s="220"/>
      <c r="H1030" s="222"/>
      <c r="I1030" s="220"/>
      <c r="J1030" s="220"/>
      <c r="K1030" s="220"/>
      <c r="L1030" s="220"/>
      <c r="M1030" s="220"/>
      <c r="N1030" s="220"/>
      <c r="O1030" s="220"/>
      <c r="P1030" s="220"/>
      <c r="Q1030" s="220"/>
      <c r="R1030" s="220"/>
      <c r="S1030" s="220"/>
      <c r="T1030" s="220"/>
      <c r="U1030" s="220"/>
      <c r="V1030" s="220"/>
      <c r="W1030" s="220"/>
      <c r="X1030" s="220"/>
      <c r="Y1030" s="220"/>
      <c r="Z1030" s="220"/>
      <c r="AA1030" s="220"/>
      <c r="AB1030" s="220"/>
      <c r="AC1030" s="220"/>
      <c r="AD1030" s="220"/>
      <c r="AE1030" s="220"/>
      <c r="AF1030" s="220"/>
      <c r="AG1030" s="220"/>
      <c r="AH1030" s="220"/>
      <c r="AI1030" s="220"/>
      <c r="AJ1030" s="220"/>
    </row>
    <row r="1031" spans="1:36" ht="15.75" customHeight="1">
      <c r="A1031" s="221"/>
      <c r="B1031" s="220"/>
      <c r="C1031" s="220"/>
      <c r="D1031" s="220"/>
      <c r="E1031" s="220"/>
      <c r="F1031" s="220"/>
      <c r="G1031" s="220"/>
      <c r="H1031" s="222"/>
      <c r="I1031" s="220"/>
      <c r="J1031" s="220"/>
      <c r="K1031" s="220"/>
      <c r="L1031" s="220"/>
      <c r="M1031" s="220"/>
      <c r="N1031" s="220"/>
      <c r="O1031" s="220"/>
      <c r="P1031" s="220"/>
      <c r="Q1031" s="220"/>
      <c r="R1031" s="220"/>
      <c r="S1031" s="220"/>
      <c r="T1031" s="220"/>
      <c r="U1031" s="220"/>
      <c r="V1031" s="220"/>
      <c r="W1031" s="220"/>
      <c r="X1031" s="220"/>
      <c r="Y1031" s="220"/>
      <c r="Z1031" s="220"/>
      <c r="AA1031" s="220"/>
      <c r="AB1031" s="220"/>
      <c r="AC1031" s="220"/>
      <c r="AD1031" s="220"/>
      <c r="AE1031" s="220"/>
      <c r="AF1031" s="220"/>
      <c r="AG1031" s="220"/>
      <c r="AH1031" s="220"/>
      <c r="AI1031" s="220"/>
      <c r="AJ1031" s="220"/>
    </row>
    <row r="1032" spans="1:36" ht="15.75" customHeight="1">
      <c r="A1032" s="221"/>
      <c r="B1032" s="220"/>
      <c r="C1032" s="220"/>
      <c r="D1032" s="220"/>
      <c r="E1032" s="220"/>
      <c r="F1032" s="220"/>
      <c r="G1032" s="220"/>
      <c r="H1032" s="222"/>
      <c r="I1032" s="220"/>
      <c r="J1032" s="220"/>
      <c r="K1032" s="220"/>
      <c r="L1032" s="220"/>
      <c r="M1032" s="220"/>
      <c r="N1032" s="220"/>
      <c r="O1032" s="220"/>
      <c r="P1032" s="220"/>
      <c r="Q1032" s="220"/>
      <c r="R1032" s="220"/>
      <c r="S1032" s="220"/>
      <c r="T1032" s="220"/>
      <c r="U1032" s="220"/>
      <c r="V1032" s="220"/>
      <c r="W1032" s="220"/>
      <c r="X1032" s="220"/>
      <c r="Y1032" s="220"/>
      <c r="Z1032" s="220"/>
      <c r="AA1032" s="220"/>
      <c r="AB1032" s="220"/>
      <c r="AC1032" s="220"/>
      <c r="AD1032" s="220"/>
      <c r="AE1032" s="220"/>
      <c r="AF1032" s="220"/>
      <c r="AG1032" s="220"/>
      <c r="AH1032" s="220"/>
      <c r="AI1032" s="220"/>
      <c r="AJ1032" s="220"/>
    </row>
    <row r="1033" spans="1:36" ht="15.75" customHeight="1">
      <c r="A1033" s="221"/>
      <c r="B1033" s="220"/>
      <c r="C1033" s="220"/>
      <c r="D1033" s="220"/>
      <c r="E1033" s="220"/>
      <c r="F1033" s="220"/>
      <c r="G1033" s="220"/>
      <c r="H1033" s="222"/>
      <c r="I1033" s="220"/>
      <c r="J1033" s="220"/>
      <c r="K1033" s="220"/>
      <c r="L1033" s="220"/>
      <c r="M1033" s="220"/>
      <c r="N1033" s="220"/>
      <c r="O1033" s="220"/>
      <c r="P1033" s="220"/>
      <c r="Q1033" s="220"/>
      <c r="R1033" s="220"/>
      <c r="S1033" s="220"/>
      <c r="T1033" s="220"/>
      <c r="U1033" s="220"/>
      <c r="V1033" s="220"/>
      <c r="W1033" s="220"/>
      <c r="X1033" s="220"/>
      <c r="Y1033" s="220"/>
      <c r="Z1033" s="220"/>
      <c r="AA1033" s="220"/>
      <c r="AB1033" s="220"/>
      <c r="AC1033" s="220"/>
      <c r="AD1033" s="220"/>
      <c r="AE1033" s="220"/>
      <c r="AF1033" s="220"/>
      <c r="AG1033" s="220"/>
      <c r="AH1033" s="220"/>
      <c r="AI1033" s="220"/>
      <c r="AJ1033" s="220"/>
    </row>
    <row r="1034" spans="1:36" ht="15.75" customHeight="1">
      <c r="A1034" s="221"/>
      <c r="B1034" s="220"/>
      <c r="C1034" s="220"/>
      <c r="D1034" s="220"/>
      <c r="E1034" s="220"/>
      <c r="F1034" s="220"/>
      <c r="G1034" s="220"/>
      <c r="H1034" s="222"/>
      <c r="I1034" s="220"/>
      <c r="J1034" s="220"/>
      <c r="K1034" s="220"/>
      <c r="L1034" s="220"/>
      <c r="M1034" s="220"/>
      <c r="N1034" s="220"/>
      <c r="O1034" s="220"/>
      <c r="P1034" s="220"/>
      <c r="Q1034" s="220"/>
      <c r="R1034" s="220"/>
      <c r="S1034" s="220"/>
      <c r="T1034" s="220"/>
      <c r="U1034" s="220"/>
      <c r="V1034" s="220"/>
      <c r="W1034" s="220"/>
      <c r="X1034" s="220"/>
      <c r="Y1034" s="220"/>
      <c r="Z1034" s="220"/>
      <c r="AA1034" s="220"/>
      <c r="AB1034" s="220"/>
      <c r="AC1034" s="220"/>
      <c r="AD1034" s="220"/>
      <c r="AE1034" s="220"/>
      <c r="AF1034" s="220"/>
      <c r="AG1034" s="220"/>
      <c r="AH1034" s="220"/>
      <c r="AI1034" s="220"/>
      <c r="AJ1034" s="220"/>
    </row>
    <row r="1035" spans="1:36" ht="15.75" customHeight="1">
      <c r="A1035" s="221"/>
      <c r="B1035" s="220"/>
      <c r="C1035" s="220"/>
      <c r="D1035" s="220"/>
      <c r="E1035" s="220"/>
      <c r="F1035" s="220"/>
      <c r="G1035" s="220"/>
      <c r="H1035" s="222"/>
      <c r="I1035" s="220"/>
      <c r="J1035" s="220"/>
      <c r="K1035" s="220"/>
      <c r="L1035" s="220"/>
      <c r="M1035" s="220"/>
      <c r="N1035" s="220"/>
      <c r="O1035" s="220"/>
      <c r="P1035" s="220"/>
      <c r="Q1035" s="220"/>
      <c r="R1035" s="220"/>
      <c r="S1035" s="220"/>
      <c r="T1035" s="220"/>
      <c r="U1035" s="220"/>
      <c r="V1035" s="220"/>
      <c r="W1035" s="220"/>
      <c r="X1035" s="220"/>
      <c r="Y1035" s="220"/>
      <c r="Z1035" s="220"/>
      <c r="AA1035" s="220"/>
      <c r="AB1035" s="220"/>
      <c r="AC1035" s="220"/>
      <c r="AD1035" s="220"/>
      <c r="AE1035" s="220"/>
      <c r="AF1035" s="220"/>
      <c r="AG1035" s="220"/>
      <c r="AH1035" s="220"/>
      <c r="AI1035" s="220"/>
      <c r="AJ1035" s="220"/>
    </row>
    <row r="1036" spans="1:36" ht="15.75" customHeight="1">
      <c r="A1036" s="221"/>
      <c r="B1036" s="220"/>
      <c r="C1036" s="220"/>
      <c r="D1036" s="220"/>
      <c r="E1036" s="220"/>
      <c r="F1036" s="220"/>
      <c r="G1036" s="220"/>
      <c r="H1036" s="222"/>
      <c r="I1036" s="220"/>
      <c r="J1036" s="220"/>
      <c r="K1036" s="220"/>
      <c r="L1036" s="220"/>
      <c r="M1036" s="220"/>
      <c r="N1036" s="220"/>
      <c r="O1036" s="220"/>
      <c r="P1036" s="220"/>
      <c r="Q1036" s="220"/>
      <c r="R1036" s="220"/>
      <c r="S1036" s="220"/>
      <c r="T1036" s="220"/>
      <c r="U1036" s="220"/>
      <c r="V1036" s="220"/>
      <c r="W1036" s="220"/>
      <c r="X1036" s="220"/>
      <c r="Y1036" s="220"/>
      <c r="Z1036" s="220"/>
      <c r="AA1036" s="220"/>
      <c r="AB1036" s="220"/>
      <c r="AC1036" s="220"/>
      <c r="AD1036" s="220"/>
      <c r="AE1036" s="220"/>
      <c r="AF1036" s="220"/>
      <c r="AG1036" s="220"/>
      <c r="AH1036" s="220"/>
      <c r="AI1036" s="220"/>
      <c r="AJ1036" s="220"/>
    </row>
    <row r="1037" spans="1:36" ht="15.75" customHeight="1">
      <c r="A1037" s="221"/>
      <c r="B1037" s="220"/>
      <c r="C1037" s="220"/>
      <c r="D1037" s="220"/>
      <c r="E1037" s="220"/>
      <c r="F1037" s="220"/>
      <c r="G1037" s="220"/>
      <c r="H1037" s="222"/>
      <c r="I1037" s="220"/>
      <c r="J1037" s="220"/>
      <c r="K1037" s="220"/>
      <c r="L1037" s="220"/>
      <c r="M1037" s="220"/>
      <c r="N1037" s="220"/>
      <c r="O1037" s="220"/>
      <c r="P1037" s="220"/>
      <c r="Q1037" s="220"/>
      <c r="R1037" s="220"/>
      <c r="S1037" s="220"/>
      <c r="T1037" s="220"/>
      <c r="U1037" s="220"/>
      <c r="V1037" s="220"/>
      <c r="W1037" s="220"/>
      <c r="X1037" s="220"/>
      <c r="Y1037" s="220"/>
      <c r="Z1037" s="220"/>
      <c r="AA1037" s="220"/>
      <c r="AB1037" s="220"/>
      <c r="AC1037" s="220"/>
      <c r="AD1037" s="220"/>
      <c r="AE1037" s="220"/>
      <c r="AF1037" s="220"/>
      <c r="AG1037" s="220"/>
      <c r="AH1037" s="220"/>
      <c r="AI1037" s="220"/>
      <c r="AJ1037" s="220"/>
    </row>
    <row r="1038" spans="1:36" ht="15.75" customHeight="1">
      <c r="A1038" s="221"/>
      <c r="B1038" s="220"/>
      <c r="C1038" s="220"/>
      <c r="D1038" s="220"/>
      <c r="E1038" s="220"/>
      <c r="F1038" s="220"/>
      <c r="G1038" s="220"/>
      <c r="H1038" s="222"/>
      <c r="I1038" s="220"/>
      <c r="J1038" s="220"/>
      <c r="K1038" s="220"/>
      <c r="L1038" s="220"/>
      <c r="M1038" s="220"/>
      <c r="N1038" s="220"/>
      <c r="O1038" s="220"/>
      <c r="P1038" s="220"/>
      <c r="Q1038" s="220"/>
      <c r="R1038" s="220"/>
      <c r="S1038" s="220"/>
      <c r="T1038" s="220"/>
      <c r="U1038" s="220"/>
      <c r="V1038" s="220"/>
      <c r="W1038" s="220"/>
      <c r="X1038" s="220"/>
      <c r="Y1038" s="220"/>
      <c r="Z1038" s="220"/>
      <c r="AA1038" s="220"/>
      <c r="AB1038" s="220"/>
      <c r="AC1038" s="220"/>
      <c r="AD1038" s="220"/>
      <c r="AE1038" s="220"/>
      <c r="AF1038" s="220"/>
      <c r="AG1038" s="220"/>
      <c r="AH1038" s="220"/>
      <c r="AI1038" s="220"/>
      <c r="AJ1038" s="220"/>
    </row>
    <row r="1039" spans="1:36" ht="15.75" customHeight="1">
      <c r="A1039" s="221"/>
      <c r="B1039" s="220"/>
      <c r="C1039" s="220"/>
      <c r="D1039" s="220"/>
      <c r="E1039" s="220"/>
      <c r="F1039" s="220"/>
      <c r="G1039" s="220"/>
      <c r="H1039" s="222"/>
      <c r="I1039" s="220"/>
      <c r="J1039" s="220"/>
      <c r="K1039" s="220"/>
      <c r="L1039" s="220"/>
      <c r="M1039" s="220"/>
      <c r="N1039" s="220"/>
      <c r="O1039" s="220"/>
      <c r="P1039" s="220"/>
      <c r="Q1039" s="220"/>
      <c r="R1039" s="220"/>
      <c r="S1039" s="220"/>
      <c r="T1039" s="220"/>
      <c r="U1039" s="220"/>
      <c r="V1039" s="220"/>
      <c r="W1039" s="220"/>
      <c r="X1039" s="220"/>
      <c r="Y1039" s="220"/>
      <c r="Z1039" s="220"/>
      <c r="AA1039" s="220"/>
      <c r="AB1039" s="220"/>
      <c r="AC1039" s="220"/>
      <c r="AD1039" s="220"/>
      <c r="AE1039" s="220"/>
      <c r="AF1039" s="220"/>
      <c r="AG1039" s="220"/>
      <c r="AH1039" s="220"/>
      <c r="AI1039" s="220"/>
      <c r="AJ1039" s="220"/>
    </row>
    <row r="1040" spans="1:36" ht="15.75" customHeight="1">
      <c r="A1040" s="221"/>
      <c r="B1040" s="220"/>
      <c r="C1040" s="220"/>
      <c r="D1040" s="220"/>
      <c r="E1040" s="220"/>
      <c r="F1040" s="220"/>
      <c r="G1040" s="220"/>
      <c r="H1040" s="222"/>
      <c r="I1040" s="220"/>
      <c r="J1040" s="220"/>
      <c r="K1040" s="220"/>
      <c r="L1040" s="220"/>
      <c r="M1040" s="220"/>
      <c r="N1040" s="220"/>
      <c r="O1040" s="220"/>
      <c r="P1040" s="220"/>
      <c r="Q1040" s="220"/>
      <c r="R1040" s="220"/>
      <c r="S1040" s="220"/>
      <c r="T1040" s="220"/>
      <c r="U1040" s="220"/>
      <c r="V1040" s="220"/>
      <c r="W1040" s="220"/>
      <c r="X1040" s="220"/>
      <c r="Y1040" s="220"/>
      <c r="Z1040" s="220"/>
      <c r="AA1040" s="220"/>
      <c r="AB1040" s="220"/>
      <c r="AC1040" s="220"/>
      <c r="AD1040" s="220"/>
      <c r="AE1040" s="220"/>
      <c r="AF1040" s="220"/>
      <c r="AG1040" s="220"/>
      <c r="AH1040" s="220"/>
      <c r="AI1040" s="220"/>
      <c r="AJ1040" s="220"/>
    </row>
    <row r="1041" spans="1:36" ht="15.75" customHeight="1">
      <c r="A1041" s="221"/>
      <c r="B1041" s="220"/>
      <c r="C1041" s="220"/>
      <c r="D1041" s="220"/>
      <c r="E1041" s="220"/>
      <c r="F1041" s="220"/>
      <c r="G1041" s="220"/>
      <c r="H1041" s="222"/>
      <c r="I1041" s="220"/>
      <c r="J1041" s="220"/>
      <c r="K1041" s="220"/>
      <c r="L1041" s="220"/>
      <c r="M1041" s="220"/>
      <c r="N1041" s="220"/>
      <c r="O1041" s="220"/>
      <c r="P1041" s="220"/>
      <c r="Q1041" s="220"/>
      <c r="R1041" s="220"/>
      <c r="S1041" s="220"/>
      <c r="T1041" s="220"/>
      <c r="U1041" s="220"/>
      <c r="V1041" s="220"/>
      <c r="W1041" s="220"/>
      <c r="X1041" s="220"/>
      <c r="Y1041" s="220"/>
      <c r="Z1041" s="220"/>
      <c r="AA1041" s="220"/>
      <c r="AB1041" s="220"/>
      <c r="AC1041" s="220"/>
      <c r="AD1041" s="220"/>
      <c r="AE1041" s="220"/>
      <c r="AF1041" s="220"/>
      <c r="AG1041" s="220"/>
      <c r="AH1041" s="220"/>
      <c r="AI1041" s="220"/>
      <c r="AJ1041" s="220"/>
    </row>
    <row r="1042" spans="1:36" ht="15.75" customHeight="1">
      <c r="A1042" s="221"/>
      <c r="B1042" s="220"/>
      <c r="C1042" s="220"/>
      <c r="D1042" s="220"/>
      <c r="E1042" s="220"/>
      <c r="F1042" s="220"/>
      <c r="G1042" s="220"/>
      <c r="H1042" s="222"/>
      <c r="I1042" s="220"/>
      <c r="J1042" s="220"/>
      <c r="K1042" s="220"/>
      <c r="L1042" s="220"/>
      <c r="M1042" s="220"/>
      <c r="N1042" s="220"/>
      <c r="O1042" s="220"/>
      <c r="P1042" s="220"/>
      <c r="Q1042" s="220"/>
      <c r="R1042" s="220"/>
      <c r="S1042" s="220"/>
      <c r="T1042" s="220"/>
      <c r="U1042" s="220"/>
      <c r="V1042" s="220"/>
      <c r="W1042" s="220"/>
      <c r="X1042" s="220"/>
      <c r="Y1042" s="220"/>
      <c r="Z1042" s="220"/>
      <c r="AA1042" s="220"/>
      <c r="AB1042" s="220"/>
      <c r="AC1042" s="220"/>
      <c r="AD1042" s="220"/>
      <c r="AE1042" s="220"/>
      <c r="AF1042" s="220"/>
      <c r="AG1042" s="220"/>
      <c r="AH1042" s="220"/>
      <c r="AI1042" s="220"/>
      <c r="AJ1042" s="220"/>
    </row>
    <row r="1043" spans="1:36" ht="15.75" customHeight="1">
      <c r="A1043" s="221"/>
      <c r="B1043" s="220"/>
      <c r="C1043" s="220"/>
      <c r="D1043" s="220"/>
      <c r="E1043" s="220"/>
      <c r="F1043" s="220"/>
      <c r="G1043" s="220"/>
      <c r="H1043" s="222"/>
      <c r="I1043" s="220"/>
      <c r="J1043" s="220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  <c r="U1043" s="220"/>
      <c r="V1043" s="220"/>
      <c r="W1043" s="220"/>
      <c r="X1043" s="220"/>
      <c r="Y1043" s="220"/>
      <c r="Z1043" s="220"/>
      <c r="AA1043" s="220"/>
      <c r="AB1043" s="220"/>
      <c r="AC1043" s="220"/>
      <c r="AD1043" s="220"/>
      <c r="AE1043" s="220"/>
      <c r="AF1043" s="220"/>
      <c r="AG1043" s="220"/>
      <c r="AH1043" s="220"/>
      <c r="AI1043" s="220"/>
      <c r="AJ1043" s="220"/>
    </row>
    <row r="1044" spans="1:36" ht="15.75" customHeight="1">
      <c r="A1044" s="221"/>
      <c r="B1044" s="220"/>
      <c r="C1044" s="220"/>
      <c r="D1044" s="220"/>
      <c r="E1044" s="220"/>
      <c r="F1044" s="220"/>
      <c r="G1044" s="220"/>
      <c r="H1044" s="222"/>
      <c r="I1044" s="220"/>
      <c r="J1044" s="220"/>
      <c r="K1044" s="220"/>
      <c r="L1044" s="220"/>
      <c r="M1044" s="220"/>
      <c r="N1044" s="220"/>
      <c r="O1044" s="220"/>
      <c r="P1044" s="220"/>
      <c r="Q1044" s="220"/>
      <c r="R1044" s="220"/>
      <c r="S1044" s="220"/>
      <c r="T1044" s="220"/>
      <c r="U1044" s="220"/>
      <c r="V1044" s="220"/>
      <c r="W1044" s="220"/>
      <c r="X1044" s="220"/>
      <c r="Y1044" s="220"/>
      <c r="Z1044" s="220"/>
      <c r="AA1044" s="220"/>
      <c r="AB1044" s="220"/>
      <c r="AC1044" s="220"/>
      <c r="AD1044" s="220"/>
      <c r="AE1044" s="220"/>
      <c r="AF1044" s="220"/>
      <c r="AG1044" s="220"/>
      <c r="AH1044" s="220"/>
      <c r="AI1044" s="220"/>
      <c r="AJ1044" s="220"/>
    </row>
    <row r="1045" spans="1:36" ht="15.75" customHeight="1">
      <c r="A1045" s="221"/>
      <c r="B1045" s="220"/>
      <c r="C1045" s="220"/>
      <c r="D1045" s="220"/>
      <c r="E1045" s="220"/>
      <c r="F1045" s="220"/>
      <c r="G1045" s="220"/>
      <c r="H1045" s="222"/>
      <c r="I1045" s="220"/>
      <c r="J1045" s="220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  <c r="U1045" s="220"/>
      <c r="V1045" s="220"/>
      <c r="W1045" s="220"/>
      <c r="X1045" s="220"/>
      <c r="Y1045" s="220"/>
      <c r="Z1045" s="220"/>
      <c r="AA1045" s="220"/>
      <c r="AB1045" s="220"/>
      <c r="AC1045" s="220"/>
      <c r="AD1045" s="220"/>
      <c r="AE1045" s="220"/>
      <c r="AF1045" s="220"/>
      <c r="AG1045" s="220"/>
      <c r="AH1045" s="220"/>
      <c r="AI1045" s="220"/>
      <c r="AJ1045" s="220"/>
    </row>
    <row r="1046" spans="1:36" ht="15.75" customHeight="1">
      <c r="A1046" s="221"/>
      <c r="B1046" s="220"/>
      <c r="C1046" s="220"/>
      <c r="D1046" s="220"/>
      <c r="E1046" s="220"/>
      <c r="F1046" s="220"/>
      <c r="G1046" s="220"/>
      <c r="H1046" s="222"/>
      <c r="I1046" s="220"/>
      <c r="J1046" s="220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  <c r="U1046" s="220"/>
      <c r="V1046" s="220"/>
      <c r="W1046" s="220"/>
      <c r="X1046" s="220"/>
      <c r="Y1046" s="220"/>
      <c r="Z1046" s="220"/>
      <c r="AA1046" s="220"/>
      <c r="AB1046" s="220"/>
      <c r="AC1046" s="220"/>
      <c r="AD1046" s="220"/>
      <c r="AE1046" s="220"/>
      <c r="AF1046" s="220"/>
      <c r="AG1046" s="220"/>
      <c r="AH1046" s="220"/>
      <c r="AI1046" s="220"/>
      <c r="AJ1046" s="220"/>
    </row>
    <row r="1047" spans="1:36" ht="15.75" customHeight="1">
      <c r="A1047" s="221"/>
      <c r="B1047" s="220"/>
      <c r="C1047" s="220"/>
      <c r="D1047" s="220"/>
      <c r="E1047" s="220"/>
      <c r="F1047" s="220"/>
      <c r="G1047" s="220"/>
      <c r="H1047" s="222"/>
      <c r="I1047" s="220"/>
      <c r="J1047" s="220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  <c r="U1047" s="220"/>
      <c r="V1047" s="220"/>
      <c r="W1047" s="220"/>
      <c r="X1047" s="220"/>
      <c r="Y1047" s="220"/>
      <c r="Z1047" s="220"/>
      <c r="AA1047" s="220"/>
      <c r="AB1047" s="220"/>
      <c r="AC1047" s="220"/>
      <c r="AD1047" s="220"/>
      <c r="AE1047" s="220"/>
      <c r="AF1047" s="220"/>
      <c r="AG1047" s="220"/>
      <c r="AH1047" s="220"/>
      <c r="AI1047" s="220"/>
      <c r="AJ1047" s="220"/>
    </row>
    <row r="1048" spans="1:36" ht="15.75" customHeight="1">
      <c r="A1048" s="221"/>
      <c r="B1048" s="220"/>
      <c r="C1048" s="220"/>
      <c r="D1048" s="220"/>
      <c r="E1048" s="220"/>
      <c r="F1048" s="220"/>
      <c r="G1048" s="220"/>
      <c r="H1048" s="222"/>
      <c r="I1048" s="220"/>
      <c r="J1048" s="220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  <c r="U1048" s="220"/>
      <c r="V1048" s="220"/>
      <c r="W1048" s="220"/>
      <c r="X1048" s="220"/>
      <c r="Y1048" s="220"/>
      <c r="Z1048" s="220"/>
      <c r="AA1048" s="220"/>
      <c r="AB1048" s="220"/>
      <c r="AC1048" s="220"/>
      <c r="AD1048" s="220"/>
      <c r="AE1048" s="220"/>
      <c r="AF1048" s="220"/>
      <c r="AG1048" s="220"/>
      <c r="AH1048" s="220"/>
      <c r="AI1048" s="220"/>
      <c r="AJ1048" s="220"/>
    </row>
    <row r="1049" spans="1:36" ht="15.75" customHeight="1">
      <c r="A1049" s="221"/>
      <c r="B1049" s="220"/>
      <c r="C1049" s="220"/>
      <c r="D1049" s="220"/>
      <c r="E1049" s="220"/>
      <c r="F1049" s="220"/>
      <c r="G1049" s="220"/>
      <c r="H1049" s="222"/>
      <c r="I1049" s="220"/>
      <c r="J1049" s="220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  <c r="U1049" s="220"/>
      <c r="V1049" s="220"/>
      <c r="W1049" s="220"/>
      <c r="X1049" s="220"/>
      <c r="Y1049" s="220"/>
      <c r="Z1049" s="220"/>
      <c r="AA1049" s="220"/>
      <c r="AB1049" s="220"/>
      <c r="AC1049" s="220"/>
      <c r="AD1049" s="220"/>
      <c r="AE1049" s="220"/>
      <c r="AF1049" s="220"/>
      <c r="AG1049" s="220"/>
      <c r="AH1049" s="220"/>
      <c r="AI1049" s="220"/>
      <c r="AJ1049" s="220"/>
    </row>
    <row r="1050" spans="1:36" ht="15.75" customHeight="1">
      <c r="A1050" s="221"/>
      <c r="B1050" s="220"/>
      <c r="C1050" s="220"/>
      <c r="D1050" s="220"/>
      <c r="E1050" s="220"/>
      <c r="F1050" s="220"/>
      <c r="G1050" s="220"/>
      <c r="H1050" s="222"/>
      <c r="I1050" s="220"/>
      <c r="J1050" s="220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  <c r="U1050" s="220"/>
      <c r="V1050" s="220"/>
      <c r="W1050" s="220"/>
      <c r="X1050" s="220"/>
      <c r="Y1050" s="220"/>
      <c r="Z1050" s="220"/>
      <c r="AA1050" s="220"/>
      <c r="AB1050" s="220"/>
      <c r="AC1050" s="220"/>
      <c r="AD1050" s="220"/>
      <c r="AE1050" s="220"/>
      <c r="AF1050" s="220"/>
      <c r="AG1050" s="220"/>
      <c r="AH1050" s="220"/>
      <c r="AI1050" s="220"/>
      <c r="AJ1050" s="220"/>
    </row>
    <row r="1051" spans="1:36" ht="15.75" customHeight="1">
      <c r="A1051" s="221"/>
      <c r="B1051" s="220"/>
      <c r="C1051" s="220"/>
      <c r="D1051" s="220"/>
      <c r="E1051" s="220"/>
      <c r="F1051" s="220"/>
      <c r="G1051" s="220"/>
      <c r="H1051" s="222"/>
      <c r="I1051" s="220"/>
      <c r="J1051" s="220"/>
      <c r="K1051" s="220"/>
      <c r="L1051" s="220"/>
      <c r="M1051" s="220"/>
      <c r="N1051" s="220"/>
      <c r="O1051" s="220"/>
      <c r="P1051" s="220"/>
      <c r="Q1051" s="220"/>
      <c r="R1051" s="220"/>
      <c r="S1051" s="220"/>
      <c r="T1051" s="220"/>
      <c r="U1051" s="220"/>
      <c r="V1051" s="220"/>
      <c r="W1051" s="220"/>
      <c r="X1051" s="220"/>
      <c r="Y1051" s="220"/>
      <c r="Z1051" s="220"/>
      <c r="AA1051" s="220"/>
      <c r="AB1051" s="220"/>
      <c r="AC1051" s="220"/>
      <c r="AD1051" s="220"/>
      <c r="AE1051" s="220"/>
      <c r="AF1051" s="220"/>
      <c r="AG1051" s="220"/>
      <c r="AH1051" s="220"/>
      <c r="AI1051" s="220"/>
      <c r="AJ1051" s="220"/>
    </row>
    <row r="1052" spans="1:36" ht="15.75" customHeight="1">
      <c r="A1052" s="221"/>
      <c r="B1052" s="220"/>
      <c r="C1052" s="220"/>
      <c r="D1052" s="220"/>
      <c r="E1052" s="220"/>
      <c r="F1052" s="220"/>
      <c r="G1052" s="220"/>
      <c r="H1052" s="222"/>
      <c r="I1052" s="220"/>
      <c r="J1052" s="220"/>
      <c r="K1052" s="220"/>
      <c r="L1052" s="220"/>
      <c r="M1052" s="220"/>
      <c r="N1052" s="220"/>
      <c r="O1052" s="220"/>
      <c r="P1052" s="220"/>
      <c r="Q1052" s="220"/>
      <c r="R1052" s="220"/>
      <c r="S1052" s="220"/>
      <c r="T1052" s="220"/>
      <c r="U1052" s="220"/>
      <c r="V1052" s="220"/>
      <c r="W1052" s="220"/>
      <c r="X1052" s="220"/>
      <c r="Y1052" s="220"/>
      <c r="Z1052" s="220"/>
      <c r="AA1052" s="220"/>
      <c r="AB1052" s="220"/>
      <c r="AC1052" s="220"/>
      <c r="AD1052" s="220"/>
      <c r="AE1052" s="220"/>
      <c r="AF1052" s="220"/>
      <c r="AG1052" s="220"/>
      <c r="AH1052" s="220"/>
      <c r="AI1052" s="220"/>
      <c r="AJ1052" s="220"/>
    </row>
    <row r="1053" spans="1:36" ht="15.75" customHeight="1">
      <c r="A1053" s="221"/>
      <c r="B1053" s="220"/>
      <c r="C1053" s="220"/>
      <c r="D1053" s="220"/>
      <c r="E1053" s="220"/>
      <c r="F1053" s="220"/>
      <c r="G1053" s="220"/>
      <c r="H1053" s="222"/>
      <c r="I1053" s="220"/>
      <c r="J1053" s="220"/>
      <c r="K1053" s="220"/>
      <c r="L1053" s="220"/>
      <c r="M1053" s="220"/>
      <c r="N1053" s="220"/>
      <c r="O1053" s="220"/>
      <c r="P1053" s="220"/>
      <c r="Q1053" s="220"/>
      <c r="R1053" s="220"/>
      <c r="S1053" s="220"/>
      <c r="T1053" s="220"/>
      <c r="U1053" s="220"/>
      <c r="V1053" s="220"/>
      <c r="W1053" s="220"/>
      <c r="X1053" s="220"/>
      <c r="Y1053" s="220"/>
      <c r="Z1053" s="220"/>
      <c r="AA1053" s="220"/>
      <c r="AB1053" s="220"/>
      <c r="AC1053" s="220"/>
      <c r="AD1053" s="220"/>
      <c r="AE1053" s="220"/>
      <c r="AF1053" s="220"/>
      <c r="AG1053" s="220"/>
      <c r="AH1053" s="220"/>
      <c r="AI1053" s="220"/>
      <c r="AJ1053" s="220"/>
    </row>
    <row r="1054" spans="1:36" ht="15.75" customHeight="1">
      <c r="A1054" s="221"/>
      <c r="B1054" s="220"/>
      <c r="C1054" s="220"/>
      <c r="D1054" s="220"/>
      <c r="E1054" s="220"/>
      <c r="F1054" s="220"/>
      <c r="G1054" s="220"/>
      <c r="H1054" s="222"/>
      <c r="I1054" s="220"/>
      <c r="J1054" s="220"/>
      <c r="K1054" s="220"/>
      <c r="L1054" s="220"/>
      <c r="M1054" s="220"/>
      <c r="N1054" s="220"/>
      <c r="O1054" s="220"/>
      <c r="P1054" s="220"/>
      <c r="Q1054" s="220"/>
      <c r="R1054" s="220"/>
      <c r="S1054" s="220"/>
      <c r="T1054" s="220"/>
      <c r="U1054" s="220"/>
      <c r="V1054" s="220"/>
      <c r="W1054" s="220"/>
      <c r="X1054" s="220"/>
      <c r="Y1054" s="220"/>
      <c r="Z1054" s="220"/>
      <c r="AA1054" s="220"/>
      <c r="AB1054" s="220"/>
      <c r="AC1054" s="220"/>
      <c r="AD1054" s="220"/>
      <c r="AE1054" s="220"/>
      <c r="AF1054" s="220"/>
      <c r="AG1054" s="220"/>
      <c r="AH1054" s="220"/>
      <c r="AI1054" s="220"/>
      <c r="AJ1054" s="220"/>
    </row>
    <row r="1055" spans="1:36" ht="15.75" customHeight="1">
      <c r="A1055" s="221"/>
      <c r="B1055" s="220"/>
      <c r="C1055" s="220"/>
      <c r="D1055" s="220"/>
      <c r="E1055" s="220"/>
      <c r="F1055" s="220"/>
      <c r="G1055" s="220"/>
      <c r="H1055" s="222"/>
      <c r="I1055" s="220"/>
      <c r="J1055" s="220"/>
      <c r="K1055" s="220"/>
      <c r="L1055" s="220"/>
      <c r="M1055" s="220"/>
      <c r="N1055" s="220"/>
      <c r="O1055" s="220"/>
      <c r="P1055" s="220"/>
      <c r="Q1055" s="220"/>
      <c r="R1055" s="220"/>
      <c r="S1055" s="220"/>
      <c r="T1055" s="220"/>
      <c r="U1055" s="220"/>
      <c r="V1055" s="220"/>
      <c r="W1055" s="220"/>
      <c r="X1055" s="220"/>
      <c r="Y1055" s="220"/>
      <c r="Z1055" s="220"/>
      <c r="AA1055" s="220"/>
      <c r="AB1055" s="220"/>
      <c r="AC1055" s="220"/>
      <c r="AD1055" s="220"/>
      <c r="AE1055" s="220"/>
      <c r="AF1055" s="220"/>
      <c r="AG1055" s="220"/>
      <c r="AH1055" s="220"/>
      <c r="AI1055" s="220"/>
      <c r="AJ1055" s="220"/>
    </row>
    <row r="1056" spans="1:36" ht="15.75" customHeight="1">
      <c r="A1056" s="221"/>
      <c r="B1056" s="220"/>
      <c r="C1056" s="220"/>
      <c r="D1056" s="220"/>
      <c r="E1056" s="220"/>
      <c r="F1056" s="220"/>
      <c r="G1056" s="220"/>
      <c r="H1056" s="222"/>
      <c r="I1056" s="220"/>
      <c r="J1056" s="220"/>
      <c r="K1056" s="220"/>
      <c r="L1056" s="220"/>
      <c r="M1056" s="220"/>
      <c r="N1056" s="220"/>
      <c r="O1056" s="220"/>
      <c r="P1056" s="220"/>
      <c r="Q1056" s="220"/>
      <c r="R1056" s="220"/>
      <c r="S1056" s="220"/>
      <c r="T1056" s="220"/>
      <c r="U1056" s="220"/>
      <c r="V1056" s="220"/>
      <c r="W1056" s="220"/>
      <c r="X1056" s="220"/>
      <c r="Y1056" s="220"/>
      <c r="Z1056" s="220"/>
      <c r="AA1056" s="220"/>
      <c r="AB1056" s="220"/>
      <c r="AC1056" s="220"/>
      <c r="AD1056" s="220"/>
      <c r="AE1056" s="220"/>
      <c r="AF1056" s="220"/>
      <c r="AG1056" s="220"/>
      <c r="AH1056" s="220"/>
      <c r="AI1056" s="220"/>
      <c r="AJ1056" s="220"/>
    </row>
    <row r="1057" spans="1:36" ht="15.75" customHeight="1">
      <c r="A1057" s="221"/>
      <c r="B1057" s="220"/>
      <c r="C1057" s="220"/>
      <c r="D1057" s="220"/>
      <c r="E1057" s="220"/>
      <c r="F1057" s="220"/>
      <c r="G1057" s="220"/>
      <c r="H1057" s="222"/>
      <c r="I1057" s="220"/>
      <c r="J1057" s="220"/>
      <c r="K1057" s="220"/>
      <c r="L1057" s="220"/>
      <c r="M1057" s="220"/>
      <c r="N1057" s="220"/>
      <c r="O1057" s="220"/>
      <c r="P1057" s="220"/>
      <c r="Q1057" s="220"/>
      <c r="R1057" s="220"/>
      <c r="S1057" s="220"/>
      <c r="T1057" s="220"/>
      <c r="U1057" s="220"/>
      <c r="V1057" s="220"/>
      <c r="W1057" s="220"/>
      <c r="X1057" s="220"/>
      <c r="Y1057" s="220"/>
      <c r="Z1057" s="220"/>
      <c r="AA1057" s="220"/>
      <c r="AB1057" s="220"/>
      <c r="AC1057" s="220"/>
      <c r="AD1057" s="220"/>
      <c r="AE1057" s="220"/>
      <c r="AF1057" s="220"/>
      <c r="AG1057" s="220"/>
      <c r="AH1057" s="220"/>
      <c r="AI1057" s="220"/>
      <c r="AJ1057" s="220"/>
    </row>
    <row r="1058" spans="1:36" ht="15.75" customHeight="1">
      <c r="A1058" s="221"/>
      <c r="B1058" s="220"/>
      <c r="C1058" s="220"/>
      <c r="D1058" s="220"/>
      <c r="E1058" s="220"/>
      <c r="F1058" s="220"/>
      <c r="G1058" s="220"/>
      <c r="H1058" s="222"/>
      <c r="I1058" s="220"/>
      <c r="J1058" s="220"/>
      <c r="K1058" s="220"/>
      <c r="L1058" s="220"/>
      <c r="M1058" s="220"/>
      <c r="N1058" s="220"/>
      <c r="O1058" s="220"/>
      <c r="P1058" s="220"/>
      <c r="Q1058" s="220"/>
      <c r="R1058" s="220"/>
      <c r="S1058" s="220"/>
      <c r="T1058" s="220"/>
      <c r="U1058" s="220"/>
      <c r="V1058" s="220"/>
      <c r="W1058" s="220"/>
      <c r="X1058" s="220"/>
      <c r="Y1058" s="220"/>
      <c r="Z1058" s="220"/>
      <c r="AA1058" s="220"/>
      <c r="AB1058" s="220"/>
      <c r="AC1058" s="220"/>
      <c r="AD1058" s="220"/>
      <c r="AE1058" s="220"/>
      <c r="AF1058" s="220"/>
      <c r="AG1058" s="220"/>
      <c r="AH1058" s="220"/>
      <c r="AI1058" s="220"/>
      <c r="AJ1058" s="220"/>
    </row>
    <row r="1059" spans="1:36" ht="15.75" customHeight="1">
      <c r="A1059" s="221"/>
      <c r="B1059" s="220"/>
      <c r="C1059" s="220"/>
      <c r="D1059" s="220"/>
      <c r="E1059" s="220"/>
      <c r="F1059" s="220"/>
      <c r="G1059" s="220"/>
      <c r="H1059" s="222"/>
      <c r="I1059" s="220"/>
      <c r="J1059" s="220"/>
      <c r="K1059" s="220"/>
      <c r="L1059" s="220"/>
      <c r="M1059" s="220"/>
      <c r="N1059" s="220"/>
      <c r="O1059" s="220"/>
      <c r="P1059" s="220"/>
      <c r="Q1059" s="220"/>
      <c r="R1059" s="220"/>
      <c r="S1059" s="220"/>
      <c r="T1059" s="220"/>
      <c r="U1059" s="220"/>
      <c r="V1059" s="220"/>
      <c r="W1059" s="220"/>
      <c r="X1059" s="220"/>
      <c r="Y1059" s="220"/>
      <c r="Z1059" s="220"/>
      <c r="AA1059" s="220"/>
      <c r="AB1059" s="220"/>
      <c r="AC1059" s="220"/>
      <c r="AD1059" s="220"/>
      <c r="AE1059" s="220"/>
      <c r="AF1059" s="220"/>
      <c r="AG1059" s="220"/>
      <c r="AH1059" s="220"/>
      <c r="AI1059" s="220"/>
      <c r="AJ1059" s="220"/>
    </row>
    <row r="1060" spans="1:36" ht="15.75" customHeight="1">
      <c r="A1060" s="221"/>
      <c r="B1060" s="220"/>
      <c r="C1060" s="220"/>
      <c r="D1060" s="220"/>
      <c r="E1060" s="220"/>
      <c r="F1060" s="220"/>
      <c r="G1060" s="220"/>
      <c r="H1060" s="222"/>
      <c r="I1060" s="220"/>
      <c r="J1060" s="220"/>
      <c r="K1060" s="220"/>
      <c r="L1060" s="220"/>
      <c r="M1060" s="220"/>
      <c r="N1060" s="220"/>
      <c r="O1060" s="220"/>
      <c r="P1060" s="220"/>
      <c r="Q1060" s="220"/>
      <c r="R1060" s="220"/>
      <c r="S1060" s="220"/>
      <c r="T1060" s="220"/>
      <c r="U1060" s="220"/>
      <c r="V1060" s="220"/>
      <c r="W1060" s="220"/>
      <c r="X1060" s="220"/>
      <c r="Y1060" s="220"/>
      <c r="Z1060" s="220"/>
      <c r="AA1060" s="220"/>
      <c r="AB1060" s="220"/>
      <c r="AC1060" s="220"/>
      <c r="AD1060" s="220"/>
      <c r="AE1060" s="220"/>
      <c r="AF1060" s="220"/>
      <c r="AG1060" s="220"/>
      <c r="AH1060" s="220"/>
      <c r="AI1060" s="220"/>
      <c r="AJ1060" s="220"/>
    </row>
    <row r="1061" spans="1:36" ht="15.75" customHeight="1">
      <c r="A1061" s="221"/>
      <c r="B1061" s="220"/>
      <c r="C1061" s="220"/>
      <c r="D1061" s="220"/>
      <c r="E1061" s="220"/>
      <c r="F1061" s="220"/>
      <c r="G1061" s="220"/>
      <c r="H1061" s="222"/>
      <c r="I1061" s="220"/>
      <c r="J1061" s="220"/>
      <c r="K1061" s="220"/>
      <c r="L1061" s="220"/>
      <c r="M1061" s="220"/>
      <c r="N1061" s="220"/>
      <c r="O1061" s="220"/>
      <c r="P1061" s="220"/>
      <c r="Q1061" s="220"/>
      <c r="R1061" s="220"/>
      <c r="S1061" s="220"/>
      <c r="T1061" s="220"/>
      <c r="U1061" s="220"/>
      <c r="V1061" s="220"/>
      <c r="W1061" s="220"/>
      <c r="X1061" s="220"/>
      <c r="Y1061" s="220"/>
      <c r="Z1061" s="220"/>
      <c r="AA1061" s="220"/>
      <c r="AB1061" s="220"/>
      <c r="AC1061" s="220"/>
      <c r="AD1061" s="220"/>
      <c r="AE1061" s="220"/>
      <c r="AF1061" s="220"/>
      <c r="AG1061" s="220"/>
      <c r="AH1061" s="220"/>
      <c r="AI1061" s="220"/>
      <c r="AJ1061" s="220"/>
    </row>
    <row r="1062" spans="1:36" ht="15.75" customHeight="1">
      <c r="A1062" s="221"/>
      <c r="B1062" s="220"/>
      <c r="C1062" s="220"/>
      <c r="D1062" s="220"/>
      <c r="E1062" s="220"/>
      <c r="F1062" s="220"/>
      <c r="G1062" s="220"/>
      <c r="H1062" s="222"/>
      <c r="I1062" s="220"/>
      <c r="J1062" s="220"/>
      <c r="K1062" s="220"/>
      <c r="L1062" s="220"/>
      <c r="M1062" s="220"/>
      <c r="N1062" s="220"/>
      <c r="O1062" s="220"/>
      <c r="P1062" s="220"/>
      <c r="Q1062" s="220"/>
      <c r="R1062" s="220"/>
      <c r="S1062" s="220"/>
      <c r="T1062" s="220"/>
      <c r="U1062" s="220"/>
      <c r="V1062" s="220"/>
      <c r="W1062" s="220"/>
      <c r="X1062" s="220"/>
      <c r="Y1062" s="220"/>
      <c r="Z1062" s="220"/>
      <c r="AA1062" s="220"/>
      <c r="AB1062" s="220"/>
      <c r="AC1062" s="220"/>
      <c r="AD1062" s="220"/>
      <c r="AE1062" s="220"/>
      <c r="AF1062" s="220"/>
      <c r="AG1062" s="220"/>
      <c r="AH1062" s="220"/>
      <c r="AI1062" s="220"/>
      <c r="AJ1062" s="220"/>
    </row>
    <row r="1063" spans="1:36" ht="15.75" customHeight="1">
      <c r="A1063" s="221"/>
      <c r="B1063" s="220"/>
      <c r="C1063" s="220"/>
      <c r="D1063" s="220"/>
      <c r="E1063" s="220"/>
      <c r="F1063" s="220"/>
      <c r="G1063" s="220"/>
      <c r="H1063" s="222"/>
      <c r="I1063" s="220"/>
      <c r="J1063" s="220"/>
      <c r="K1063" s="220"/>
      <c r="L1063" s="220"/>
      <c r="M1063" s="220"/>
      <c r="N1063" s="220"/>
      <c r="O1063" s="220"/>
      <c r="P1063" s="220"/>
      <c r="Q1063" s="220"/>
      <c r="R1063" s="220"/>
      <c r="S1063" s="220"/>
      <c r="T1063" s="220"/>
      <c r="U1063" s="220"/>
      <c r="V1063" s="220"/>
      <c r="W1063" s="220"/>
      <c r="X1063" s="220"/>
      <c r="Y1063" s="220"/>
      <c r="Z1063" s="220"/>
      <c r="AA1063" s="220"/>
      <c r="AB1063" s="220"/>
      <c r="AC1063" s="220"/>
      <c r="AD1063" s="220"/>
      <c r="AE1063" s="220"/>
      <c r="AF1063" s="220"/>
      <c r="AG1063" s="220"/>
      <c r="AH1063" s="220"/>
      <c r="AI1063" s="220"/>
      <c r="AJ1063" s="220"/>
    </row>
    <row r="1064" spans="1:36" ht="15.75" customHeight="1">
      <c r="A1064" s="221"/>
      <c r="B1064" s="220"/>
      <c r="C1064" s="220"/>
      <c r="D1064" s="220"/>
      <c r="E1064" s="220"/>
      <c r="F1064" s="220"/>
      <c r="G1064" s="220"/>
      <c r="H1064" s="222"/>
      <c r="I1064" s="220"/>
      <c r="J1064" s="220"/>
      <c r="K1064" s="220"/>
      <c r="L1064" s="220"/>
      <c r="M1064" s="220"/>
      <c r="N1064" s="220"/>
      <c r="O1064" s="220"/>
      <c r="P1064" s="220"/>
      <c r="Q1064" s="220"/>
      <c r="R1064" s="220"/>
      <c r="S1064" s="220"/>
      <c r="T1064" s="220"/>
      <c r="U1064" s="220"/>
      <c r="V1064" s="220"/>
      <c r="W1064" s="220"/>
      <c r="X1064" s="220"/>
      <c r="Y1064" s="220"/>
      <c r="Z1064" s="220"/>
      <c r="AA1064" s="220"/>
      <c r="AB1064" s="220"/>
      <c r="AC1064" s="220"/>
      <c r="AD1064" s="220"/>
      <c r="AE1064" s="220"/>
      <c r="AF1064" s="220"/>
      <c r="AG1064" s="220"/>
      <c r="AH1064" s="220"/>
      <c r="AI1064" s="220"/>
      <c r="AJ1064" s="220"/>
    </row>
    <row r="1065" spans="1:36" ht="15.75" customHeight="1">
      <c r="A1065" s="221"/>
      <c r="B1065" s="220"/>
      <c r="C1065" s="220"/>
      <c r="D1065" s="220"/>
      <c r="E1065" s="220"/>
      <c r="F1065" s="220"/>
      <c r="G1065" s="220"/>
      <c r="H1065" s="222"/>
      <c r="I1065" s="220"/>
      <c r="J1065" s="220"/>
      <c r="K1065" s="220"/>
      <c r="L1065" s="220"/>
      <c r="M1065" s="220"/>
      <c r="N1065" s="220"/>
      <c r="O1065" s="220"/>
      <c r="P1065" s="220"/>
      <c r="Q1065" s="220"/>
      <c r="R1065" s="220"/>
      <c r="S1065" s="220"/>
      <c r="T1065" s="220"/>
      <c r="U1065" s="220"/>
      <c r="V1065" s="220"/>
      <c r="W1065" s="220"/>
      <c r="X1065" s="220"/>
      <c r="Y1065" s="220"/>
      <c r="Z1065" s="220"/>
      <c r="AA1065" s="220"/>
      <c r="AB1065" s="220"/>
      <c r="AC1065" s="220"/>
      <c r="AD1065" s="220"/>
      <c r="AE1065" s="220"/>
      <c r="AF1065" s="220"/>
      <c r="AG1065" s="220"/>
      <c r="AH1065" s="220"/>
      <c r="AI1065" s="220"/>
      <c r="AJ1065" s="220"/>
    </row>
    <row r="1066" spans="1:36" ht="15.75" customHeight="1">
      <c r="A1066" s="221"/>
      <c r="B1066" s="220"/>
      <c r="C1066" s="220"/>
      <c r="D1066" s="220"/>
      <c r="E1066" s="220"/>
      <c r="F1066" s="220"/>
      <c r="G1066" s="220"/>
      <c r="H1066" s="222"/>
      <c r="I1066" s="220"/>
      <c r="J1066" s="220"/>
      <c r="K1066" s="220"/>
      <c r="L1066" s="220"/>
      <c r="M1066" s="220"/>
      <c r="N1066" s="220"/>
      <c r="O1066" s="220"/>
      <c r="P1066" s="220"/>
      <c r="Q1066" s="220"/>
      <c r="R1066" s="220"/>
      <c r="S1066" s="220"/>
      <c r="T1066" s="220"/>
      <c r="U1066" s="220"/>
      <c r="V1066" s="220"/>
      <c r="W1066" s="220"/>
      <c r="X1066" s="220"/>
      <c r="Y1066" s="220"/>
      <c r="Z1066" s="220"/>
      <c r="AA1066" s="220"/>
      <c r="AB1066" s="220"/>
      <c r="AC1066" s="220"/>
      <c r="AD1066" s="220"/>
      <c r="AE1066" s="220"/>
      <c r="AF1066" s="220"/>
      <c r="AG1066" s="220"/>
      <c r="AH1066" s="220"/>
      <c r="AI1066" s="220"/>
      <c r="AJ1066" s="220"/>
    </row>
    <row r="1067" spans="1:36" ht="15.75" customHeight="1">
      <c r="A1067" s="221"/>
      <c r="B1067" s="220"/>
      <c r="C1067" s="220"/>
      <c r="D1067" s="220"/>
      <c r="E1067" s="220"/>
      <c r="F1067" s="220"/>
      <c r="G1067" s="220"/>
      <c r="H1067" s="222"/>
      <c r="I1067" s="220"/>
      <c r="J1067" s="220"/>
      <c r="K1067" s="220"/>
      <c r="L1067" s="220"/>
      <c r="M1067" s="220"/>
      <c r="N1067" s="220"/>
      <c r="O1067" s="220"/>
      <c r="P1067" s="220"/>
      <c r="Q1067" s="220"/>
      <c r="R1067" s="220"/>
      <c r="S1067" s="220"/>
      <c r="T1067" s="220"/>
      <c r="U1067" s="220"/>
      <c r="V1067" s="220"/>
      <c r="W1067" s="220"/>
      <c r="X1067" s="220"/>
      <c r="Y1067" s="220"/>
      <c r="Z1067" s="220"/>
      <c r="AA1067" s="220"/>
      <c r="AB1067" s="220"/>
      <c r="AC1067" s="220"/>
      <c r="AD1067" s="220"/>
      <c r="AE1067" s="220"/>
      <c r="AF1067" s="220"/>
      <c r="AG1067" s="220"/>
      <c r="AH1067" s="220"/>
      <c r="AI1067" s="220"/>
      <c r="AJ1067" s="220"/>
    </row>
    <row r="1068" spans="1:36" ht="15.75" customHeight="1">
      <c r="A1068" s="221"/>
      <c r="B1068" s="220"/>
      <c r="C1068" s="220"/>
      <c r="D1068" s="220"/>
      <c r="E1068" s="220"/>
      <c r="F1068" s="220"/>
      <c r="G1068" s="220"/>
      <c r="H1068" s="222"/>
      <c r="I1068" s="220"/>
      <c r="J1068" s="220"/>
      <c r="K1068" s="220"/>
      <c r="L1068" s="220"/>
      <c r="M1068" s="220"/>
      <c r="N1068" s="220"/>
      <c r="O1068" s="220"/>
      <c r="P1068" s="220"/>
      <c r="Q1068" s="220"/>
      <c r="R1068" s="220"/>
      <c r="S1068" s="220"/>
      <c r="T1068" s="220"/>
      <c r="U1068" s="220"/>
      <c r="V1068" s="220"/>
      <c r="W1068" s="220"/>
      <c r="X1068" s="220"/>
      <c r="Y1068" s="220"/>
      <c r="Z1068" s="220"/>
      <c r="AA1068" s="220"/>
      <c r="AB1068" s="220"/>
      <c r="AC1068" s="220"/>
      <c r="AD1068" s="220"/>
      <c r="AE1068" s="220"/>
      <c r="AF1068" s="220"/>
      <c r="AG1068" s="220"/>
      <c r="AH1068" s="220"/>
      <c r="AI1068" s="220"/>
      <c r="AJ1068" s="220"/>
    </row>
    <row r="1069" spans="1:36" ht="15.75" customHeight="1">
      <c r="A1069" s="221"/>
      <c r="B1069" s="220"/>
      <c r="C1069" s="220"/>
      <c r="D1069" s="220"/>
      <c r="E1069" s="220"/>
      <c r="F1069" s="220"/>
      <c r="G1069" s="220"/>
      <c r="H1069" s="222"/>
      <c r="I1069" s="220"/>
      <c r="J1069" s="220"/>
      <c r="K1069" s="220"/>
      <c r="L1069" s="220"/>
      <c r="M1069" s="220"/>
      <c r="N1069" s="220"/>
      <c r="O1069" s="220"/>
      <c r="P1069" s="220"/>
      <c r="Q1069" s="220"/>
      <c r="R1069" s="220"/>
      <c r="S1069" s="220"/>
      <c r="T1069" s="220"/>
      <c r="U1069" s="220"/>
      <c r="V1069" s="220"/>
      <c r="W1069" s="220"/>
      <c r="X1069" s="220"/>
      <c r="Y1069" s="220"/>
      <c r="Z1069" s="220"/>
      <c r="AA1069" s="220"/>
      <c r="AB1069" s="220"/>
      <c r="AC1069" s="220"/>
      <c r="AD1069" s="220"/>
      <c r="AE1069" s="220"/>
      <c r="AF1069" s="220"/>
      <c r="AG1069" s="220"/>
      <c r="AH1069" s="220"/>
      <c r="AI1069" s="220"/>
      <c r="AJ1069" s="220"/>
    </row>
    <row r="1070" spans="1:36" ht="15.75" customHeight="1">
      <c r="A1070" s="221"/>
      <c r="B1070" s="220"/>
      <c r="C1070" s="220"/>
      <c r="D1070" s="220"/>
      <c r="E1070" s="220"/>
      <c r="F1070" s="220"/>
      <c r="G1070" s="220"/>
      <c r="H1070" s="222"/>
      <c r="I1070" s="220"/>
      <c r="J1070" s="220"/>
      <c r="K1070" s="220"/>
      <c r="L1070" s="220"/>
      <c r="M1070" s="220"/>
      <c r="N1070" s="220"/>
      <c r="O1070" s="220"/>
      <c r="P1070" s="220"/>
      <c r="Q1070" s="220"/>
      <c r="R1070" s="220"/>
      <c r="S1070" s="220"/>
      <c r="T1070" s="220"/>
      <c r="U1070" s="220"/>
      <c r="V1070" s="220"/>
      <c r="W1070" s="220"/>
      <c r="X1070" s="220"/>
      <c r="Y1070" s="220"/>
      <c r="Z1070" s="220"/>
      <c r="AA1070" s="220"/>
      <c r="AB1070" s="220"/>
      <c r="AC1070" s="220"/>
      <c r="AD1070" s="220"/>
      <c r="AE1070" s="220"/>
      <c r="AF1070" s="220"/>
      <c r="AG1070" s="220"/>
      <c r="AH1070" s="220"/>
      <c r="AI1070" s="220"/>
      <c r="AJ1070" s="220"/>
    </row>
    <row r="1071" spans="1:36" ht="15.75" customHeight="1">
      <c r="A1071" s="221"/>
      <c r="B1071" s="220"/>
      <c r="C1071" s="220"/>
      <c r="D1071" s="220"/>
      <c r="E1071" s="220"/>
      <c r="F1071" s="220"/>
      <c r="G1071" s="220"/>
      <c r="H1071" s="222"/>
      <c r="I1071" s="220"/>
      <c r="J1071" s="220"/>
      <c r="K1071" s="220"/>
      <c r="L1071" s="220"/>
      <c r="M1071" s="220"/>
      <c r="N1071" s="220"/>
      <c r="O1071" s="220"/>
      <c r="P1071" s="220"/>
      <c r="Q1071" s="220"/>
      <c r="R1071" s="220"/>
      <c r="S1071" s="220"/>
      <c r="T1071" s="220"/>
      <c r="U1071" s="220"/>
      <c r="V1071" s="220"/>
      <c r="W1071" s="220"/>
      <c r="X1071" s="220"/>
      <c r="Y1071" s="220"/>
      <c r="Z1071" s="220"/>
      <c r="AA1071" s="220"/>
      <c r="AB1071" s="220"/>
      <c r="AC1071" s="220"/>
      <c r="AD1071" s="220"/>
      <c r="AE1071" s="220"/>
      <c r="AF1071" s="220"/>
      <c r="AG1071" s="220"/>
      <c r="AH1071" s="220"/>
      <c r="AI1071" s="220"/>
      <c r="AJ1071" s="220"/>
    </row>
    <row r="1072" spans="1:36" ht="15.75" customHeight="1">
      <c r="A1072" s="221"/>
      <c r="B1072" s="220"/>
      <c r="C1072" s="220"/>
      <c r="D1072" s="220"/>
      <c r="E1072" s="220"/>
      <c r="F1072" s="220"/>
      <c r="G1072" s="220"/>
      <c r="H1072" s="222"/>
      <c r="I1072" s="220"/>
      <c r="J1072" s="220"/>
      <c r="K1072" s="220"/>
      <c r="L1072" s="220"/>
      <c r="M1072" s="220"/>
      <c r="N1072" s="220"/>
      <c r="O1072" s="220"/>
      <c r="P1072" s="220"/>
      <c r="Q1072" s="220"/>
      <c r="R1072" s="220"/>
      <c r="S1072" s="220"/>
      <c r="T1072" s="220"/>
      <c r="U1072" s="220"/>
      <c r="V1072" s="220"/>
      <c r="W1072" s="220"/>
      <c r="X1072" s="220"/>
      <c r="Y1072" s="220"/>
      <c r="Z1072" s="220"/>
      <c r="AA1072" s="220"/>
      <c r="AB1072" s="220"/>
      <c r="AC1072" s="220"/>
      <c r="AD1072" s="220"/>
      <c r="AE1072" s="220"/>
      <c r="AF1072" s="220"/>
      <c r="AG1072" s="220"/>
      <c r="AH1072" s="220"/>
      <c r="AI1072" s="220"/>
      <c r="AJ1072" s="220"/>
    </row>
    <row r="1073" spans="1:36" ht="15.75" customHeight="1">
      <c r="A1073" s="221"/>
      <c r="B1073" s="220"/>
      <c r="C1073" s="220"/>
      <c r="D1073" s="220"/>
      <c r="E1073" s="220"/>
      <c r="F1073" s="220"/>
      <c r="G1073" s="220"/>
      <c r="H1073" s="222"/>
      <c r="I1073" s="220"/>
      <c r="J1073" s="220"/>
      <c r="K1073" s="220"/>
      <c r="L1073" s="220"/>
      <c r="M1073" s="220"/>
      <c r="N1073" s="220"/>
      <c r="O1073" s="220"/>
      <c r="P1073" s="220"/>
      <c r="Q1073" s="220"/>
      <c r="R1073" s="220"/>
      <c r="S1073" s="220"/>
      <c r="T1073" s="220"/>
      <c r="U1073" s="220"/>
      <c r="V1073" s="220"/>
      <c r="W1073" s="220"/>
      <c r="X1073" s="220"/>
      <c r="Y1073" s="220"/>
      <c r="Z1073" s="220"/>
      <c r="AA1073" s="220"/>
      <c r="AB1073" s="220"/>
      <c r="AC1073" s="220"/>
      <c r="AD1073" s="220"/>
      <c r="AE1073" s="220"/>
      <c r="AF1073" s="220"/>
      <c r="AG1073" s="220"/>
      <c r="AH1073" s="220"/>
      <c r="AI1073" s="220"/>
      <c r="AJ1073" s="220"/>
    </row>
    <row r="1074" spans="1:36" ht="15.75" customHeight="1">
      <c r="A1074" s="221"/>
      <c r="B1074" s="220"/>
      <c r="C1074" s="220"/>
      <c r="D1074" s="220"/>
      <c r="E1074" s="220"/>
      <c r="F1074" s="220"/>
      <c r="G1074" s="220"/>
      <c r="H1074" s="222"/>
      <c r="I1074" s="220"/>
      <c r="J1074" s="220"/>
      <c r="K1074" s="220"/>
      <c r="L1074" s="220"/>
      <c r="M1074" s="220"/>
      <c r="N1074" s="220"/>
      <c r="O1074" s="220"/>
      <c r="P1074" s="220"/>
      <c r="Q1074" s="220"/>
      <c r="R1074" s="220"/>
      <c r="S1074" s="220"/>
      <c r="T1074" s="220"/>
      <c r="U1074" s="220"/>
      <c r="V1074" s="220"/>
      <c r="W1074" s="220"/>
      <c r="X1074" s="220"/>
      <c r="Y1074" s="220"/>
      <c r="Z1074" s="220"/>
      <c r="AA1074" s="220"/>
      <c r="AB1074" s="220"/>
      <c r="AC1074" s="220"/>
      <c r="AD1074" s="220"/>
      <c r="AE1074" s="220"/>
      <c r="AF1074" s="220"/>
      <c r="AG1074" s="220"/>
      <c r="AH1074" s="220"/>
      <c r="AI1074" s="220"/>
      <c r="AJ1074" s="220"/>
    </row>
    <row r="1075" spans="1:36" ht="15.75" customHeight="1">
      <c r="A1075" s="221"/>
      <c r="B1075" s="220"/>
      <c r="C1075" s="220"/>
      <c r="D1075" s="220"/>
      <c r="E1075" s="220"/>
      <c r="F1075" s="220"/>
      <c r="G1075" s="220"/>
      <c r="H1075" s="222"/>
      <c r="I1075" s="220"/>
      <c r="J1075" s="220"/>
      <c r="K1075" s="220"/>
      <c r="L1075" s="220"/>
      <c r="M1075" s="220"/>
      <c r="N1075" s="220"/>
      <c r="O1075" s="220"/>
      <c r="P1075" s="220"/>
      <c r="Q1075" s="220"/>
      <c r="R1075" s="220"/>
      <c r="S1075" s="220"/>
      <c r="T1075" s="220"/>
      <c r="U1075" s="220"/>
      <c r="V1075" s="220"/>
      <c r="W1075" s="220"/>
      <c r="X1075" s="220"/>
      <c r="Y1075" s="220"/>
      <c r="Z1075" s="220"/>
      <c r="AA1075" s="220"/>
      <c r="AB1075" s="220"/>
      <c r="AC1075" s="220"/>
      <c r="AD1075" s="220"/>
      <c r="AE1075" s="220"/>
      <c r="AF1075" s="220"/>
      <c r="AG1075" s="220"/>
      <c r="AH1075" s="220"/>
      <c r="AI1075" s="220"/>
      <c r="AJ1075" s="220"/>
    </row>
    <row r="1076" spans="1:36" ht="15.75" customHeight="1">
      <c r="A1076" s="221"/>
      <c r="B1076" s="220"/>
      <c r="C1076" s="220"/>
      <c r="D1076" s="220"/>
      <c r="E1076" s="220"/>
      <c r="F1076" s="220"/>
      <c r="G1076" s="220"/>
      <c r="H1076" s="222"/>
      <c r="I1076" s="220"/>
      <c r="J1076" s="220"/>
      <c r="K1076" s="220"/>
      <c r="L1076" s="220"/>
      <c r="M1076" s="220"/>
      <c r="N1076" s="220"/>
      <c r="O1076" s="220"/>
      <c r="P1076" s="220"/>
      <c r="Q1076" s="220"/>
      <c r="R1076" s="220"/>
      <c r="S1076" s="220"/>
      <c r="T1076" s="220"/>
      <c r="U1076" s="220"/>
      <c r="V1076" s="220"/>
      <c r="W1076" s="220"/>
      <c r="X1076" s="220"/>
      <c r="Y1076" s="220"/>
      <c r="Z1076" s="220"/>
      <c r="AA1076" s="220"/>
      <c r="AB1076" s="220"/>
      <c r="AC1076" s="220"/>
      <c r="AD1076" s="220"/>
      <c r="AE1076" s="220"/>
      <c r="AF1076" s="220"/>
      <c r="AG1076" s="220"/>
      <c r="AH1076" s="220"/>
      <c r="AI1076" s="220"/>
      <c r="AJ1076" s="220"/>
    </row>
    <row r="1077" spans="1:36" ht="15.75" customHeight="1">
      <c r="A1077" s="221"/>
      <c r="B1077" s="220"/>
      <c r="C1077" s="220"/>
      <c r="D1077" s="220"/>
      <c r="E1077" s="220"/>
      <c r="F1077" s="220"/>
      <c r="G1077" s="220"/>
      <c r="H1077" s="222"/>
      <c r="I1077" s="220"/>
      <c r="J1077" s="220"/>
      <c r="K1077" s="220"/>
      <c r="L1077" s="220"/>
      <c r="M1077" s="220"/>
      <c r="N1077" s="220"/>
      <c r="O1077" s="220"/>
      <c r="P1077" s="220"/>
      <c r="Q1077" s="220"/>
      <c r="R1077" s="220"/>
      <c r="S1077" s="220"/>
      <c r="T1077" s="220"/>
      <c r="U1077" s="220"/>
      <c r="V1077" s="220"/>
      <c r="W1077" s="220"/>
      <c r="X1077" s="220"/>
      <c r="Y1077" s="220"/>
      <c r="Z1077" s="220"/>
      <c r="AA1077" s="220"/>
      <c r="AB1077" s="220"/>
      <c r="AC1077" s="220"/>
      <c r="AD1077" s="220"/>
      <c r="AE1077" s="220"/>
      <c r="AF1077" s="220"/>
      <c r="AG1077" s="220"/>
      <c r="AH1077" s="220"/>
      <c r="AI1077" s="220"/>
      <c r="AJ1077" s="220"/>
    </row>
    <row r="1078" spans="1:36" ht="15.75" customHeight="1">
      <c r="A1078" s="221"/>
      <c r="B1078" s="220"/>
      <c r="C1078" s="220"/>
      <c r="D1078" s="220"/>
      <c r="E1078" s="220"/>
      <c r="F1078" s="220"/>
      <c r="G1078" s="220"/>
      <c r="H1078" s="222"/>
      <c r="I1078" s="220"/>
      <c r="J1078" s="220"/>
      <c r="K1078" s="220"/>
      <c r="L1078" s="220"/>
      <c r="M1078" s="220"/>
      <c r="N1078" s="220"/>
      <c r="O1078" s="220"/>
      <c r="P1078" s="220"/>
      <c r="Q1078" s="220"/>
      <c r="R1078" s="220"/>
      <c r="S1078" s="220"/>
      <c r="T1078" s="220"/>
      <c r="U1078" s="220"/>
      <c r="V1078" s="220"/>
      <c r="W1078" s="220"/>
      <c r="X1078" s="220"/>
      <c r="Y1078" s="220"/>
      <c r="Z1078" s="220"/>
      <c r="AA1078" s="220"/>
      <c r="AB1078" s="220"/>
      <c r="AC1078" s="220"/>
      <c r="AD1078" s="220"/>
      <c r="AE1078" s="220"/>
      <c r="AF1078" s="220"/>
      <c r="AG1078" s="220"/>
      <c r="AH1078" s="220"/>
      <c r="AI1078" s="220"/>
      <c r="AJ1078" s="220"/>
    </row>
    <row r="1079" spans="1:36" ht="15.75" customHeight="1">
      <c r="A1079" s="221"/>
      <c r="B1079" s="220"/>
      <c r="C1079" s="220"/>
      <c r="D1079" s="220"/>
      <c r="E1079" s="220"/>
      <c r="F1079" s="220"/>
      <c r="G1079" s="220"/>
      <c r="H1079" s="222"/>
      <c r="I1079" s="220"/>
      <c r="J1079" s="220"/>
      <c r="K1079" s="220"/>
      <c r="L1079" s="220"/>
      <c r="M1079" s="220"/>
      <c r="N1079" s="220"/>
      <c r="O1079" s="220"/>
      <c r="P1079" s="220"/>
      <c r="Q1079" s="220"/>
      <c r="R1079" s="220"/>
      <c r="S1079" s="220"/>
      <c r="T1079" s="220"/>
      <c r="U1079" s="220"/>
      <c r="V1079" s="220"/>
      <c r="W1079" s="220"/>
      <c r="X1079" s="220"/>
      <c r="Y1079" s="220"/>
      <c r="Z1079" s="220"/>
      <c r="AA1079" s="220"/>
      <c r="AB1079" s="220"/>
      <c r="AC1079" s="220"/>
      <c r="AD1079" s="220"/>
      <c r="AE1079" s="220"/>
      <c r="AF1079" s="220"/>
      <c r="AG1079" s="220"/>
      <c r="AH1079" s="220"/>
      <c r="AI1079" s="220"/>
      <c r="AJ1079" s="220"/>
    </row>
    <row r="1080" spans="1:36" ht="15.75" customHeight="1">
      <c r="A1080" s="221"/>
      <c r="B1080" s="220"/>
      <c r="C1080" s="220"/>
      <c r="D1080" s="220"/>
      <c r="E1080" s="220"/>
      <c r="F1080" s="220"/>
      <c r="G1080" s="220"/>
      <c r="H1080" s="222"/>
      <c r="I1080" s="220"/>
      <c r="J1080" s="220"/>
      <c r="K1080" s="220"/>
      <c r="L1080" s="220"/>
      <c r="M1080" s="220"/>
      <c r="N1080" s="220"/>
      <c r="O1080" s="220"/>
      <c r="P1080" s="220"/>
      <c r="Q1080" s="220"/>
      <c r="R1080" s="220"/>
      <c r="S1080" s="220"/>
      <c r="T1080" s="220"/>
      <c r="U1080" s="220"/>
      <c r="V1080" s="220"/>
      <c r="W1080" s="220"/>
      <c r="X1080" s="220"/>
      <c r="Y1080" s="220"/>
      <c r="Z1080" s="220"/>
      <c r="AA1080" s="220"/>
      <c r="AB1080" s="220"/>
      <c r="AC1080" s="220"/>
      <c r="AD1080" s="220"/>
      <c r="AE1080" s="220"/>
      <c r="AF1080" s="220"/>
      <c r="AG1080" s="220"/>
      <c r="AH1080" s="220"/>
      <c r="AI1080" s="220"/>
      <c r="AJ1080" s="220"/>
    </row>
    <row r="1081" spans="1:36" ht="15.75" customHeight="1">
      <c r="A1081" s="221"/>
      <c r="B1081" s="220"/>
      <c r="C1081" s="220"/>
      <c r="D1081" s="220"/>
      <c r="E1081" s="220"/>
      <c r="F1081" s="220"/>
      <c r="G1081" s="220"/>
      <c r="H1081" s="222"/>
      <c r="I1081" s="220"/>
      <c r="J1081" s="220"/>
      <c r="K1081" s="220"/>
      <c r="L1081" s="220"/>
      <c r="M1081" s="220"/>
      <c r="N1081" s="220"/>
      <c r="O1081" s="220"/>
      <c r="P1081" s="220"/>
      <c r="Q1081" s="220"/>
      <c r="R1081" s="220"/>
      <c r="S1081" s="220"/>
      <c r="T1081" s="220"/>
      <c r="U1081" s="220"/>
      <c r="V1081" s="220"/>
      <c r="W1081" s="220"/>
      <c r="X1081" s="220"/>
      <c r="Y1081" s="220"/>
      <c r="Z1081" s="220"/>
      <c r="AA1081" s="220"/>
      <c r="AB1081" s="220"/>
      <c r="AC1081" s="220"/>
      <c r="AD1081" s="220"/>
      <c r="AE1081" s="220"/>
      <c r="AF1081" s="220"/>
      <c r="AG1081" s="220"/>
      <c r="AH1081" s="220"/>
      <c r="AI1081" s="220"/>
      <c r="AJ1081" s="220"/>
    </row>
    <row r="1082" spans="1:36" ht="15.75" customHeight="1">
      <c r="A1082" s="221"/>
      <c r="B1082" s="220"/>
      <c r="C1082" s="220"/>
      <c r="D1082" s="220"/>
      <c r="E1082" s="220"/>
      <c r="F1082" s="220"/>
      <c r="G1082" s="220"/>
      <c r="H1082" s="222"/>
      <c r="I1082" s="220"/>
      <c r="J1082" s="220"/>
      <c r="K1082" s="220"/>
      <c r="L1082" s="220"/>
      <c r="M1082" s="220"/>
      <c r="N1082" s="220"/>
      <c r="O1082" s="220"/>
      <c r="P1082" s="220"/>
      <c r="Q1082" s="220"/>
      <c r="R1082" s="220"/>
      <c r="S1082" s="220"/>
      <c r="T1082" s="220"/>
      <c r="U1082" s="220"/>
      <c r="V1082" s="220"/>
      <c r="W1082" s="220"/>
      <c r="X1082" s="220"/>
      <c r="Y1082" s="220"/>
      <c r="Z1082" s="220"/>
      <c r="AA1082" s="220"/>
      <c r="AB1082" s="220"/>
      <c r="AC1082" s="220"/>
      <c r="AD1082" s="220"/>
      <c r="AE1082" s="220"/>
      <c r="AF1082" s="220"/>
      <c r="AG1082" s="220"/>
      <c r="AH1082" s="220"/>
      <c r="AI1082" s="220"/>
      <c r="AJ1082" s="220"/>
    </row>
    <row r="1083" spans="1:36" ht="15.75" customHeight="1">
      <c r="A1083" s="221"/>
      <c r="B1083" s="220"/>
      <c r="C1083" s="220"/>
      <c r="D1083" s="220"/>
      <c r="E1083" s="220"/>
      <c r="F1083" s="220"/>
      <c r="G1083" s="220"/>
      <c r="H1083" s="222"/>
      <c r="I1083" s="220"/>
      <c r="J1083" s="220"/>
      <c r="K1083" s="220"/>
      <c r="L1083" s="220"/>
      <c r="M1083" s="220"/>
      <c r="N1083" s="220"/>
      <c r="O1083" s="220"/>
      <c r="P1083" s="220"/>
      <c r="Q1083" s="220"/>
      <c r="R1083" s="220"/>
      <c r="S1083" s="220"/>
      <c r="T1083" s="220"/>
      <c r="U1083" s="220"/>
      <c r="V1083" s="220"/>
      <c r="W1083" s="220"/>
      <c r="X1083" s="220"/>
      <c r="Y1083" s="220"/>
      <c r="Z1083" s="220"/>
      <c r="AA1083" s="220"/>
      <c r="AB1083" s="220"/>
      <c r="AC1083" s="220"/>
      <c r="AD1083" s="220"/>
      <c r="AE1083" s="220"/>
      <c r="AF1083" s="220"/>
      <c r="AG1083" s="220"/>
      <c r="AH1083" s="220"/>
      <c r="AI1083" s="220"/>
      <c r="AJ1083" s="220"/>
    </row>
    <row r="1084" spans="1:36" ht="15.75" customHeight="1">
      <c r="A1084" s="221"/>
      <c r="B1084" s="220"/>
      <c r="C1084" s="220"/>
      <c r="D1084" s="220"/>
      <c r="E1084" s="220"/>
      <c r="F1084" s="220"/>
      <c r="G1084" s="220"/>
      <c r="H1084" s="222"/>
      <c r="I1084" s="220"/>
      <c r="J1084" s="220"/>
      <c r="K1084" s="220"/>
      <c r="L1084" s="220"/>
      <c r="M1084" s="220"/>
      <c r="N1084" s="220"/>
      <c r="O1084" s="220"/>
      <c r="P1084" s="220"/>
      <c r="Q1084" s="220"/>
      <c r="R1084" s="220"/>
      <c r="S1084" s="220"/>
      <c r="T1084" s="220"/>
      <c r="U1084" s="220"/>
      <c r="V1084" s="220"/>
      <c r="W1084" s="220"/>
      <c r="X1084" s="220"/>
      <c r="Y1084" s="220"/>
      <c r="Z1084" s="220"/>
      <c r="AA1084" s="220"/>
      <c r="AB1084" s="220"/>
      <c r="AC1084" s="220"/>
      <c r="AD1084" s="220"/>
      <c r="AE1084" s="220"/>
      <c r="AF1084" s="220"/>
      <c r="AG1084" s="220"/>
      <c r="AH1084" s="220"/>
      <c r="AI1084" s="220"/>
      <c r="AJ1084" s="220"/>
    </row>
    <row r="1085" spans="1:36" ht="15.75" customHeight="1">
      <c r="A1085" s="221"/>
      <c r="B1085" s="220"/>
      <c r="C1085" s="220"/>
      <c r="D1085" s="220"/>
      <c r="E1085" s="220"/>
      <c r="F1085" s="220"/>
      <c r="G1085" s="220"/>
      <c r="H1085" s="222"/>
      <c r="I1085" s="220"/>
      <c r="J1085" s="220"/>
      <c r="K1085" s="220"/>
      <c r="L1085" s="220"/>
      <c r="M1085" s="220"/>
      <c r="N1085" s="220"/>
      <c r="O1085" s="220"/>
      <c r="P1085" s="220"/>
      <c r="Q1085" s="220"/>
      <c r="R1085" s="220"/>
      <c r="S1085" s="220"/>
      <c r="T1085" s="220"/>
      <c r="U1085" s="220"/>
      <c r="V1085" s="220"/>
      <c r="W1085" s="220"/>
      <c r="X1085" s="220"/>
      <c r="Y1085" s="220"/>
      <c r="Z1085" s="220"/>
      <c r="AA1085" s="220"/>
      <c r="AB1085" s="220"/>
      <c r="AC1085" s="220"/>
      <c r="AD1085" s="220"/>
      <c r="AE1085" s="220"/>
      <c r="AF1085" s="220"/>
      <c r="AG1085" s="220"/>
      <c r="AH1085" s="220"/>
      <c r="AI1085" s="220"/>
      <c r="AJ1085" s="220"/>
    </row>
    <row r="1086" spans="1:36" ht="15.75" customHeight="1">
      <c r="A1086" s="221"/>
      <c r="B1086" s="220"/>
      <c r="C1086" s="220"/>
      <c r="D1086" s="220"/>
      <c r="E1086" s="220"/>
      <c r="F1086" s="220"/>
      <c r="G1086" s="220"/>
      <c r="H1086" s="222"/>
      <c r="I1086" s="220"/>
      <c r="J1086" s="220"/>
      <c r="K1086" s="220"/>
      <c r="L1086" s="220"/>
      <c r="M1086" s="220"/>
      <c r="N1086" s="220"/>
      <c r="O1086" s="220"/>
      <c r="P1086" s="220"/>
      <c r="Q1086" s="220"/>
      <c r="R1086" s="220"/>
      <c r="S1086" s="220"/>
      <c r="T1086" s="220"/>
      <c r="U1086" s="220"/>
      <c r="V1086" s="220"/>
      <c r="W1086" s="220"/>
      <c r="X1086" s="220"/>
      <c r="Y1086" s="220"/>
      <c r="Z1086" s="220"/>
      <c r="AA1086" s="220"/>
      <c r="AB1086" s="220"/>
      <c r="AC1086" s="220"/>
      <c r="AD1086" s="220"/>
      <c r="AE1086" s="220"/>
      <c r="AF1086" s="220"/>
      <c r="AG1086" s="220"/>
      <c r="AH1086" s="220"/>
      <c r="AI1086" s="220"/>
      <c r="AJ1086" s="220"/>
    </row>
    <row r="1087" spans="1:36" ht="15.75" customHeight="1">
      <c r="A1087" s="221"/>
      <c r="B1087" s="220"/>
      <c r="C1087" s="220"/>
      <c r="D1087" s="220"/>
      <c r="E1087" s="220"/>
      <c r="F1087" s="220"/>
      <c r="G1087" s="220"/>
      <c r="H1087" s="222"/>
      <c r="I1087" s="220"/>
      <c r="J1087" s="220"/>
      <c r="K1087" s="220"/>
      <c r="L1087" s="220"/>
      <c r="M1087" s="220"/>
      <c r="N1087" s="220"/>
      <c r="O1087" s="220"/>
      <c r="P1087" s="220"/>
      <c r="Q1087" s="220"/>
      <c r="R1087" s="220"/>
      <c r="S1087" s="220"/>
      <c r="T1087" s="220"/>
      <c r="U1087" s="220"/>
      <c r="V1087" s="220"/>
      <c r="W1087" s="220"/>
      <c r="X1087" s="220"/>
      <c r="Y1087" s="220"/>
      <c r="Z1087" s="220"/>
      <c r="AA1087" s="220"/>
      <c r="AB1087" s="220"/>
      <c r="AC1087" s="220"/>
      <c r="AD1087" s="220"/>
      <c r="AE1087" s="220"/>
      <c r="AF1087" s="220"/>
      <c r="AG1087" s="220"/>
      <c r="AH1087" s="220"/>
      <c r="AI1087" s="220"/>
      <c r="AJ1087" s="220"/>
    </row>
    <row r="1088" spans="1:36" ht="15.75" customHeight="1">
      <c r="A1088" s="221"/>
      <c r="B1088" s="220"/>
      <c r="C1088" s="220"/>
      <c r="D1088" s="220"/>
      <c r="E1088" s="220"/>
      <c r="F1088" s="220"/>
      <c r="G1088" s="220"/>
      <c r="H1088" s="222"/>
      <c r="I1088" s="220"/>
      <c r="J1088" s="220"/>
      <c r="K1088" s="220"/>
      <c r="L1088" s="220"/>
      <c r="M1088" s="220"/>
      <c r="N1088" s="220"/>
      <c r="O1088" s="220"/>
      <c r="P1088" s="220"/>
      <c r="Q1088" s="220"/>
      <c r="R1088" s="220"/>
      <c r="S1088" s="220"/>
      <c r="T1088" s="220"/>
      <c r="U1088" s="220"/>
      <c r="V1088" s="220"/>
      <c r="W1088" s="220"/>
      <c r="X1088" s="220"/>
      <c r="Y1088" s="220"/>
      <c r="Z1088" s="220"/>
      <c r="AA1088" s="220"/>
      <c r="AB1088" s="220"/>
      <c r="AC1088" s="220"/>
      <c r="AD1088" s="220"/>
      <c r="AE1088" s="220"/>
      <c r="AF1088" s="220"/>
      <c r="AG1088" s="220"/>
      <c r="AH1088" s="220"/>
      <c r="AI1088" s="220"/>
      <c r="AJ1088" s="220"/>
    </row>
    <row r="1089" spans="1:36" ht="15.75" customHeight="1">
      <c r="A1089" s="221"/>
      <c r="B1089" s="220"/>
      <c r="C1089" s="220"/>
      <c r="D1089" s="220"/>
      <c r="E1089" s="220"/>
      <c r="F1089" s="220"/>
      <c r="G1089" s="220"/>
      <c r="H1089" s="222"/>
      <c r="I1089" s="220"/>
      <c r="J1089" s="220"/>
      <c r="K1089" s="220"/>
      <c r="L1089" s="220"/>
      <c r="M1089" s="220"/>
      <c r="N1089" s="220"/>
      <c r="O1089" s="220"/>
      <c r="P1089" s="220"/>
      <c r="Q1089" s="220"/>
      <c r="R1089" s="220"/>
      <c r="S1089" s="220"/>
      <c r="T1089" s="220"/>
      <c r="U1089" s="220"/>
      <c r="V1089" s="220"/>
      <c r="W1089" s="220"/>
      <c r="X1089" s="220"/>
      <c r="Y1089" s="220"/>
      <c r="Z1089" s="220"/>
      <c r="AA1089" s="220"/>
      <c r="AB1089" s="220"/>
      <c r="AC1089" s="220"/>
      <c r="AD1089" s="220"/>
      <c r="AE1089" s="220"/>
      <c r="AF1089" s="220"/>
      <c r="AG1089" s="220"/>
      <c r="AH1089" s="220"/>
      <c r="AI1089" s="220"/>
      <c r="AJ1089" s="220"/>
    </row>
    <row r="1090" spans="1:36" ht="15.75" customHeight="1">
      <c r="A1090" s="221"/>
      <c r="B1090" s="220"/>
      <c r="C1090" s="220"/>
      <c r="D1090" s="220"/>
      <c r="E1090" s="220"/>
      <c r="F1090" s="220"/>
      <c r="G1090" s="220"/>
      <c r="H1090" s="222"/>
      <c r="I1090" s="220"/>
      <c r="J1090" s="220"/>
      <c r="K1090" s="220"/>
      <c r="L1090" s="220"/>
      <c r="M1090" s="220"/>
      <c r="N1090" s="220"/>
      <c r="O1090" s="220"/>
      <c r="P1090" s="220"/>
      <c r="Q1090" s="220"/>
      <c r="R1090" s="220"/>
      <c r="S1090" s="220"/>
      <c r="T1090" s="220"/>
      <c r="U1090" s="220"/>
      <c r="V1090" s="220"/>
      <c r="W1090" s="220"/>
      <c r="X1090" s="220"/>
      <c r="Y1090" s="220"/>
      <c r="Z1090" s="220"/>
      <c r="AA1090" s="220"/>
      <c r="AB1090" s="220"/>
      <c r="AC1090" s="220"/>
      <c r="AD1090" s="220"/>
      <c r="AE1090" s="220"/>
      <c r="AF1090" s="220"/>
      <c r="AG1090" s="220"/>
      <c r="AH1090" s="220"/>
      <c r="AI1090" s="220"/>
      <c r="AJ1090" s="220"/>
    </row>
    <row r="1091" spans="1:36" ht="15.75" customHeight="1">
      <c r="A1091" s="221"/>
      <c r="B1091" s="220"/>
      <c r="C1091" s="220"/>
      <c r="D1091" s="220"/>
      <c r="E1091" s="220"/>
      <c r="F1091" s="220"/>
      <c r="G1091" s="220"/>
      <c r="H1091" s="222"/>
      <c r="I1091" s="220"/>
      <c r="J1091" s="220"/>
      <c r="K1091" s="220"/>
      <c r="L1091" s="220"/>
      <c r="M1091" s="220"/>
      <c r="N1091" s="220"/>
      <c r="O1091" s="220"/>
      <c r="P1091" s="220"/>
      <c r="Q1091" s="220"/>
      <c r="R1091" s="220"/>
      <c r="S1091" s="220"/>
      <c r="T1091" s="220"/>
      <c r="U1091" s="220"/>
      <c r="V1091" s="220"/>
      <c r="W1091" s="220"/>
      <c r="X1091" s="220"/>
      <c r="Y1091" s="220"/>
      <c r="Z1091" s="220"/>
      <c r="AA1091" s="220"/>
      <c r="AB1091" s="220"/>
      <c r="AC1091" s="220"/>
      <c r="AD1091" s="220"/>
      <c r="AE1091" s="220"/>
      <c r="AF1091" s="220"/>
      <c r="AG1091" s="220"/>
      <c r="AH1091" s="220"/>
      <c r="AI1091" s="220"/>
      <c r="AJ1091" s="220"/>
    </row>
    <row r="1092" spans="1:36" ht="15.75" customHeight="1">
      <c r="A1092" s="221"/>
      <c r="B1092" s="220"/>
      <c r="C1092" s="220"/>
      <c r="D1092" s="220"/>
      <c r="E1092" s="220"/>
      <c r="F1092" s="220"/>
      <c r="G1092" s="220"/>
      <c r="H1092" s="222"/>
      <c r="I1092" s="220"/>
      <c r="J1092" s="220"/>
      <c r="K1092" s="220"/>
      <c r="L1092" s="220"/>
      <c r="M1092" s="220"/>
      <c r="N1092" s="220"/>
      <c r="O1092" s="220"/>
      <c r="P1092" s="220"/>
      <c r="Q1092" s="220"/>
      <c r="R1092" s="220"/>
      <c r="S1092" s="220"/>
      <c r="T1092" s="220"/>
      <c r="U1092" s="220"/>
      <c r="V1092" s="220"/>
      <c r="W1092" s="220"/>
      <c r="X1092" s="220"/>
      <c r="Y1092" s="220"/>
      <c r="Z1092" s="220"/>
      <c r="AA1092" s="220"/>
      <c r="AB1092" s="220"/>
      <c r="AC1092" s="220"/>
      <c r="AD1092" s="220"/>
      <c r="AE1092" s="220"/>
      <c r="AF1092" s="220"/>
      <c r="AG1092" s="220"/>
      <c r="AH1092" s="220"/>
      <c r="AI1092" s="220"/>
      <c r="AJ1092" s="220"/>
    </row>
    <row r="1093" spans="1:36" ht="15.75" customHeight="1">
      <c r="A1093" s="221"/>
      <c r="B1093" s="220"/>
      <c r="C1093" s="220"/>
      <c r="D1093" s="220"/>
      <c r="E1093" s="220"/>
      <c r="F1093" s="220"/>
      <c r="G1093" s="220"/>
      <c r="H1093" s="222"/>
      <c r="I1093" s="220"/>
      <c r="J1093" s="220"/>
      <c r="K1093" s="220"/>
      <c r="L1093" s="220"/>
      <c r="M1093" s="220"/>
      <c r="N1093" s="220"/>
      <c r="O1093" s="220"/>
      <c r="P1093" s="220"/>
      <c r="Q1093" s="220"/>
      <c r="R1093" s="220"/>
      <c r="S1093" s="220"/>
      <c r="T1093" s="220"/>
      <c r="U1093" s="220"/>
      <c r="V1093" s="220"/>
      <c r="W1093" s="220"/>
      <c r="X1093" s="220"/>
      <c r="Y1093" s="220"/>
      <c r="Z1093" s="220"/>
      <c r="AA1093" s="220"/>
      <c r="AB1093" s="220"/>
      <c r="AC1093" s="220"/>
      <c r="AD1093" s="220"/>
      <c r="AE1093" s="220"/>
      <c r="AF1093" s="220"/>
      <c r="AG1093" s="220"/>
      <c r="AH1093" s="220"/>
      <c r="AI1093" s="220"/>
      <c r="AJ1093" s="220"/>
    </row>
    <row r="1094" spans="1:36" ht="15.75" customHeight="1">
      <c r="A1094" s="221"/>
      <c r="B1094" s="220"/>
      <c r="C1094" s="220"/>
      <c r="D1094" s="220"/>
      <c r="E1094" s="220"/>
      <c r="F1094" s="220"/>
      <c r="G1094" s="220"/>
      <c r="H1094" s="222"/>
      <c r="I1094" s="220"/>
      <c r="J1094" s="220"/>
      <c r="K1094" s="220"/>
      <c r="L1094" s="220"/>
      <c r="M1094" s="220"/>
      <c r="N1094" s="220"/>
      <c r="O1094" s="220"/>
      <c r="P1094" s="220"/>
      <c r="Q1094" s="220"/>
      <c r="R1094" s="220"/>
      <c r="S1094" s="220"/>
      <c r="T1094" s="220"/>
      <c r="U1094" s="220"/>
      <c r="V1094" s="220"/>
      <c r="W1094" s="220"/>
      <c r="X1094" s="220"/>
      <c r="Y1094" s="220"/>
      <c r="Z1094" s="220"/>
      <c r="AA1094" s="220"/>
      <c r="AB1094" s="220"/>
      <c r="AC1094" s="220"/>
      <c r="AD1094" s="220"/>
      <c r="AE1094" s="220"/>
      <c r="AF1094" s="220"/>
      <c r="AG1094" s="220"/>
      <c r="AH1094" s="220"/>
      <c r="AI1094" s="220"/>
      <c r="AJ1094" s="220"/>
    </row>
    <row r="1095" spans="1:36" ht="15.75" customHeight="1">
      <c r="A1095" s="221"/>
      <c r="B1095" s="220"/>
      <c r="C1095" s="220"/>
      <c r="D1095" s="220"/>
      <c r="E1095" s="220"/>
      <c r="F1095" s="220"/>
      <c r="G1095" s="220"/>
      <c r="H1095" s="222"/>
      <c r="I1095" s="220"/>
      <c r="J1095" s="220"/>
      <c r="K1095" s="220"/>
      <c r="L1095" s="220"/>
      <c r="M1095" s="220"/>
      <c r="N1095" s="220"/>
      <c r="O1095" s="220"/>
      <c r="P1095" s="220"/>
      <c r="Q1095" s="220"/>
      <c r="R1095" s="220"/>
      <c r="S1095" s="220"/>
      <c r="T1095" s="220"/>
      <c r="U1095" s="220"/>
      <c r="V1095" s="220"/>
      <c r="W1095" s="220"/>
      <c r="X1095" s="220"/>
      <c r="Y1095" s="220"/>
      <c r="Z1095" s="220"/>
      <c r="AA1095" s="220"/>
      <c r="AB1095" s="220"/>
      <c r="AC1095" s="220"/>
      <c r="AD1095" s="220"/>
      <c r="AE1095" s="220"/>
      <c r="AF1095" s="220"/>
      <c r="AG1095" s="220"/>
      <c r="AH1095" s="220"/>
      <c r="AI1095" s="220"/>
      <c r="AJ1095" s="220"/>
    </row>
    <row r="1096" spans="1:36" ht="15.75" customHeight="1">
      <c r="A1096" s="221"/>
      <c r="B1096" s="220"/>
      <c r="C1096" s="220"/>
      <c r="D1096" s="220"/>
      <c r="E1096" s="220"/>
      <c r="F1096" s="220"/>
      <c r="G1096" s="220"/>
      <c r="H1096" s="222"/>
      <c r="I1096" s="220"/>
      <c r="J1096" s="220"/>
      <c r="K1096" s="220"/>
      <c r="L1096" s="220"/>
      <c r="M1096" s="220"/>
      <c r="N1096" s="220"/>
      <c r="O1096" s="220"/>
      <c r="P1096" s="220"/>
      <c r="Q1096" s="220"/>
      <c r="R1096" s="220"/>
      <c r="S1096" s="220"/>
      <c r="T1096" s="220"/>
      <c r="U1096" s="220"/>
      <c r="V1096" s="220"/>
      <c r="W1096" s="220"/>
      <c r="X1096" s="220"/>
      <c r="Y1096" s="220"/>
      <c r="Z1096" s="220"/>
      <c r="AA1096" s="220"/>
      <c r="AB1096" s="220"/>
      <c r="AC1096" s="220"/>
      <c r="AD1096" s="220"/>
      <c r="AE1096" s="220"/>
      <c r="AF1096" s="220"/>
      <c r="AG1096" s="220"/>
      <c r="AH1096" s="220"/>
      <c r="AI1096" s="220"/>
      <c r="AJ1096" s="220"/>
    </row>
    <row r="1097" spans="1:36" ht="15.75" customHeight="1">
      <c r="A1097" s="221"/>
      <c r="B1097" s="220"/>
      <c r="C1097" s="220"/>
      <c r="D1097" s="220"/>
      <c r="E1097" s="220"/>
      <c r="F1097" s="220"/>
      <c r="G1097" s="220"/>
      <c r="H1097" s="222"/>
      <c r="I1097" s="220"/>
      <c r="J1097" s="220"/>
      <c r="K1097" s="220"/>
      <c r="L1097" s="220"/>
      <c r="M1097" s="220"/>
      <c r="N1097" s="220"/>
      <c r="O1097" s="220"/>
      <c r="P1097" s="220"/>
      <c r="Q1097" s="220"/>
      <c r="R1097" s="220"/>
      <c r="S1097" s="220"/>
      <c r="T1097" s="220"/>
      <c r="U1097" s="220"/>
      <c r="V1097" s="220"/>
      <c r="W1097" s="220"/>
      <c r="X1097" s="220"/>
      <c r="Y1097" s="220"/>
      <c r="Z1097" s="220"/>
      <c r="AA1097" s="220"/>
      <c r="AB1097" s="220"/>
      <c r="AC1097" s="220"/>
      <c r="AD1097" s="220"/>
      <c r="AE1097" s="220"/>
      <c r="AF1097" s="220"/>
      <c r="AG1097" s="220"/>
      <c r="AH1097" s="220"/>
      <c r="AI1097" s="220"/>
      <c r="AJ1097" s="220"/>
    </row>
    <row r="1098" spans="1:36" ht="15.75" customHeight="1">
      <c r="A1098" s="221"/>
      <c r="B1098" s="220"/>
      <c r="C1098" s="220"/>
      <c r="D1098" s="220"/>
      <c r="E1098" s="220"/>
      <c r="F1098" s="220"/>
      <c r="G1098" s="220"/>
      <c r="H1098" s="222"/>
      <c r="I1098" s="220"/>
      <c r="J1098" s="220"/>
      <c r="K1098" s="220"/>
      <c r="L1098" s="220"/>
      <c r="M1098" s="220"/>
      <c r="N1098" s="220"/>
      <c r="O1098" s="220"/>
      <c r="P1098" s="220"/>
      <c r="Q1098" s="220"/>
      <c r="R1098" s="220"/>
      <c r="S1098" s="220"/>
      <c r="T1098" s="220"/>
      <c r="U1098" s="220"/>
      <c r="V1098" s="220"/>
      <c r="W1098" s="220"/>
      <c r="X1098" s="220"/>
      <c r="Y1098" s="220"/>
      <c r="Z1098" s="220"/>
      <c r="AA1098" s="220"/>
      <c r="AB1098" s="220"/>
      <c r="AC1098" s="220"/>
      <c r="AD1098" s="220"/>
      <c r="AE1098" s="220"/>
      <c r="AF1098" s="220"/>
      <c r="AG1098" s="220"/>
      <c r="AH1098" s="220"/>
      <c r="AI1098" s="220"/>
      <c r="AJ1098" s="220"/>
    </row>
    <row r="1099" spans="1:36" ht="15.75" customHeight="1">
      <c r="A1099" s="221"/>
      <c r="B1099" s="220"/>
      <c r="C1099" s="220"/>
      <c r="D1099" s="220"/>
      <c r="E1099" s="220"/>
      <c r="F1099" s="220"/>
      <c r="G1099" s="220"/>
      <c r="H1099" s="222"/>
      <c r="I1099" s="220"/>
      <c r="J1099" s="220"/>
      <c r="K1099" s="220"/>
      <c r="L1099" s="220"/>
      <c r="M1099" s="220"/>
      <c r="N1099" s="220"/>
      <c r="O1099" s="220"/>
      <c r="P1099" s="220"/>
      <c r="Q1099" s="220"/>
      <c r="R1099" s="220"/>
      <c r="S1099" s="220"/>
      <c r="T1099" s="220"/>
      <c r="U1099" s="220"/>
      <c r="V1099" s="220"/>
      <c r="W1099" s="220"/>
      <c r="X1099" s="220"/>
      <c r="Y1099" s="220"/>
      <c r="Z1099" s="220"/>
      <c r="AA1099" s="220"/>
      <c r="AB1099" s="220"/>
      <c r="AC1099" s="220"/>
      <c r="AD1099" s="220"/>
      <c r="AE1099" s="220"/>
      <c r="AF1099" s="220"/>
      <c r="AG1099" s="220"/>
      <c r="AH1099" s="220"/>
      <c r="AI1099" s="220"/>
      <c r="AJ1099" s="220"/>
    </row>
    <row r="1100" spans="1:36" ht="15.75" customHeight="1">
      <c r="A1100" s="221"/>
      <c r="B1100" s="220"/>
      <c r="C1100" s="220"/>
      <c r="D1100" s="220"/>
      <c r="E1100" s="220"/>
      <c r="F1100" s="220"/>
      <c r="G1100" s="220"/>
      <c r="H1100" s="222"/>
      <c r="I1100" s="220"/>
      <c r="J1100" s="220"/>
      <c r="K1100" s="220"/>
      <c r="L1100" s="220"/>
      <c r="M1100" s="220"/>
      <c r="N1100" s="220"/>
      <c r="O1100" s="220"/>
      <c r="P1100" s="220"/>
      <c r="Q1100" s="220"/>
      <c r="R1100" s="220"/>
      <c r="S1100" s="220"/>
      <c r="T1100" s="220"/>
      <c r="U1100" s="220"/>
      <c r="V1100" s="220"/>
      <c r="W1100" s="220"/>
      <c r="X1100" s="220"/>
      <c r="Y1100" s="220"/>
      <c r="Z1100" s="220"/>
      <c r="AA1100" s="220"/>
      <c r="AB1100" s="220"/>
      <c r="AC1100" s="220"/>
      <c r="AD1100" s="220"/>
      <c r="AE1100" s="220"/>
      <c r="AF1100" s="220"/>
      <c r="AG1100" s="220"/>
      <c r="AH1100" s="220"/>
      <c r="AI1100" s="220"/>
      <c r="AJ1100" s="220"/>
    </row>
    <row r="1101" spans="1:36" ht="15.75" customHeight="1">
      <c r="A1101" s="221"/>
      <c r="B1101" s="220"/>
      <c r="C1101" s="220"/>
      <c r="D1101" s="220"/>
      <c r="E1101" s="220"/>
      <c r="F1101" s="220"/>
      <c r="G1101" s="220"/>
      <c r="H1101" s="222"/>
      <c r="I1101" s="220"/>
      <c r="J1101" s="220"/>
      <c r="K1101" s="220"/>
      <c r="L1101" s="220"/>
      <c r="M1101" s="220"/>
      <c r="N1101" s="220"/>
      <c r="O1101" s="220"/>
      <c r="P1101" s="220"/>
      <c r="Q1101" s="220"/>
      <c r="R1101" s="220"/>
      <c r="S1101" s="220"/>
      <c r="T1101" s="220"/>
      <c r="U1101" s="220"/>
      <c r="V1101" s="220"/>
      <c r="W1101" s="220"/>
      <c r="X1101" s="220"/>
      <c r="Y1101" s="220"/>
      <c r="Z1101" s="220"/>
      <c r="AA1101" s="220"/>
      <c r="AB1101" s="220"/>
      <c r="AC1101" s="220"/>
      <c r="AD1101" s="220"/>
      <c r="AE1101" s="220"/>
      <c r="AF1101" s="220"/>
      <c r="AG1101" s="220"/>
      <c r="AH1101" s="220"/>
      <c r="AI1101" s="220"/>
      <c r="AJ1101" s="220"/>
    </row>
    <row r="1102" spans="1:36" ht="15.75" customHeight="1">
      <c r="A1102" s="221"/>
      <c r="B1102" s="220"/>
      <c r="C1102" s="220"/>
      <c r="D1102" s="220"/>
      <c r="E1102" s="220"/>
      <c r="F1102" s="220"/>
      <c r="G1102" s="220"/>
      <c r="H1102" s="222"/>
      <c r="I1102" s="220"/>
      <c r="J1102" s="220"/>
      <c r="K1102" s="220"/>
      <c r="L1102" s="220"/>
      <c r="M1102" s="220"/>
      <c r="N1102" s="220"/>
      <c r="O1102" s="220"/>
      <c r="P1102" s="220"/>
      <c r="Q1102" s="220"/>
      <c r="R1102" s="220"/>
      <c r="S1102" s="220"/>
      <c r="T1102" s="220"/>
      <c r="U1102" s="220"/>
      <c r="V1102" s="220"/>
      <c r="W1102" s="220"/>
      <c r="X1102" s="220"/>
      <c r="Y1102" s="220"/>
      <c r="Z1102" s="220"/>
      <c r="AA1102" s="220"/>
      <c r="AB1102" s="220"/>
      <c r="AC1102" s="220"/>
      <c r="AD1102" s="220"/>
      <c r="AE1102" s="220"/>
      <c r="AF1102" s="220"/>
      <c r="AG1102" s="220"/>
      <c r="AH1102" s="220"/>
      <c r="AI1102" s="220"/>
      <c r="AJ1102" s="220"/>
    </row>
    <row r="1103" spans="1:36" ht="15.75" customHeight="1">
      <c r="A1103" s="221"/>
      <c r="B1103" s="220"/>
      <c r="C1103" s="220"/>
      <c r="D1103" s="220"/>
      <c r="E1103" s="220"/>
      <c r="F1103" s="220"/>
      <c r="G1103" s="220"/>
      <c r="H1103" s="222"/>
      <c r="I1103" s="220"/>
      <c r="J1103" s="220"/>
      <c r="K1103" s="220"/>
      <c r="L1103" s="220"/>
      <c r="M1103" s="220"/>
      <c r="N1103" s="220"/>
      <c r="O1103" s="220"/>
      <c r="P1103" s="220"/>
      <c r="Q1103" s="220"/>
      <c r="R1103" s="220"/>
      <c r="S1103" s="220"/>
      <c r="T1103" s="220"/>
      <c r="U1103" s="220"/>
      <c r="V1103" s="220"/>
      <c r="W1103" s="220"/>
      <c r="X1103" s="220"/>
      <c r="Y1103" s="220"/>
      <c r="Z1103" s="220"/>
      <c r="AA1103" s="220"/>
      <c r="AB1103" s="220"/>
      <c r="AC1103" s="220"/>
      <c r="AD1103" s="220"/>
      <c r="AE1103" s="220"/>
      <c r="AF1103" s="220"/>
      <c r="AG1103" s="220"/>
      <c r="AH1103" s="220"/>
      <c r="AI1103" s="220"/>
      <c r="AJ1103" s="220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1C68-F549-477C-BBCC-33F998B96D77}">
  <sheetPr codeName="Sheet6">
    <tabColor rgb="FF050A3F"/>
  </sheetPr>
  <dimension ref="A1:AM67"/>
  <sheetViews>
    <sheetView showGridLines="0" topLeftCell="A9" zoomScaleNormal="100" workbookViewId="0">
      <selection activeCell="D49" sqref="D49"/>
    </sheetView>
  </sheetViews>
  <sheetFormatPr defaultColWidth="0" defaultRowHeight="13.2" zeroHeight="1"/>
  <cols>
    <col min="1" max="1" width="2.5" style="17" customWidth="1"/>
    <col min="2" max="2" width="46.19921875" style="17" bestFit="1" customWidth="1"/>
    <col min="3" max="3" width="12.296875" style="17" customWidth="1"/>
    <col min="4" max="8" width="10.69921875" style="17" customWidth="1"/>
    <col min="9" max="9" width="11.19921875" style="17" customWidth="1"/>
    <col min="10" max="18" width="10.69921875" style="17" customWidth="1"/>
    <col min="19" max="20" width="5.19921875" style="17" customWidth="1"/>
    <col min="21" max="39" width="0" style="17" hidden="1" customWidth="1"/>
    <col min="40" max="16384" width="4.69921875" style="17" hidden="1"/>
  </cols>
  <sheetData>
    <row r="1" spans="1:20" s="33" customFormat="1" ht="17.399999999999999">
      <c r="B1" s="32" t="s">
        <v>4</v>
      </c>
      <c r="R1" s="34"/>
      <c r="S1" s="34"/>
    </row>
    <row r="2" spans="1:20" s="33" customFormat="1" ht="17.399999999999999">
      <c r="B2" s="32" t="str">
        <f>company</f>
        <v>lululemon athletica inc.</v>
      </c>
      <c r="R2" s="34"/>
      <c r="S2" s="34"/>
    </row>
    <row r="3" spans="1:20" s="33" customFormat="1" ht="17.399999999999999">
      <c r="B3" s="32" t="s">
        <v>45</v>
      </c>
      <c r="R3" s="34"/>
      <c r="S3" s="34"/>
    </row>
    <row r="4" spans="1:20" s="33" customFormat="1" ht="17.399999999999999">
      <c r="B4" s="32" t="s">
        <v>99</v>
      </c>
      <c r="C4" s="35"/>
      <c r="D4" s="35"/>
      <c r="E4" s="35"/>
      <c r="F4" s="35"/>
      <c r="R4" s="34"/>
      <c r="S4" s="34"/>
    </row>
    <row r="5" spans="1:20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9"/>
    </row>
    <row r="6" spans="1:20">
      <c r="A6" s="120"/>
      <c r="B6" s="32" t="s">
        <v>100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</row>
    <row r="7" spans="1:20">
      <c r="A7" s="118"/>
      <c r="B7" s="121"/>
      <c r="C7" s="121"/>
      <c r="D7" s="121"/>
      <c r="F7" s="121"/>
      <c r="S7" s="118"/>
    </row>
    <row r="8" spans="1:20">
      <c r="A8" s="118"/>
      <c r="B8" s="122" t="s">
        <v>101</v>
      </c>
      <c r="C8" s="123"/>
    </row>
    <row r="9" spans="1:20">
      <c r="A9" s="118"/>
      <c r="B9" s="124" t="s">
        <v>102</v>
      </c>
      <c r="C9" s="125">
        <v>4324</v>
      </c>
    </row>
    <row r="10" spans="1:20">
      <c r="A10" s="118"/>
      <c r="B10" s="126" t="s">
        <v>103</v>
      </c>
      <c r="C10" s="127">
        <f>IFERROR(C9/C13,"")</f>
        <v>0.73288135593220338</v>
      </c>
    </row>
    <row r="11" spans="1:20">
      <c r="A11" s="118"/>
      <c r="B11" s="124" t="s">
        <v>104</v>
      </c>
      <c r="C11" s="125">
        <v>1576</v>
      </c>
    </row>
    <row r="12" spans="1:20">
      <c r="A12" s="118"/>
      <c r="B12" s="128" t="s">
        <v>215</v>
      </c>
      <c r="C12" s="129">
        <f>IFERROR(C11/C13,"")</f>
        <v>0.26711864406779662</v>
      </c>
    </row>
    <row r="13" spans="1:20">
      <c r="A13" s="118"/>
      <c r="B13" s="130" t="s">
        <v>105</v>
      </c>
      <c r="C13" s="131">
        <f>SUM(C9,C11)</f>
        <v>5900</v>
      </c>
    </row>
    <row r="14" spans="1:20">
      <c r="A14" s="118"/>
      <c r="B14" s="132"/>
    </row>
    <row r="15" spans="1:20">
      <c r="A15" s="118"/>
      <c r="B15" s="132"/>
    </row>
    <row r="16" spans="1:20">
      <c r="A16" s="118"/>
      <c r="B16" s="133" t="s">
        <v>106</v>
      </c>
      <c r="C16" s="134"/>
    </row>
    <row r="17" spans="1:37">
      <c r="A17" s="118"/>
      <c r="B17" s="135" t="s">
        <v>216</v>
      </c>
      <c r="C17" s="136">
        <v>0.12</v>
      </c>
    </row>
    <row r="18" spans="1:37">
      <c r="A18" s="118"/>
      <c r="B18" s="137" t="s">
        <v>107</v>
      </c>
      <c r="C18" s="136">
        <v>4.1119999999999997E-2</v>
      </c>
    </row>
    <row r="19" spans="1:37">
      <c r="A19" s="118"/>
      <c r="B19" s="137" t="s">
        <v>217</v>
      </c>
      <c r="C19" s="138">
        <f>rm-rf</f>
        <v>7.8880000000000006E-2</v>
      </c>
    </row>
    <row r="20" spans="1:37">
      <c r="A20" s="118"/>
      <c r="B20" s="139" t="s">
        <v>108</v>
      </c>
      <c r="C20" s="195">
        <v>1.05</v>
      </c>
    </row>
    <row r="21" spans="1:37">
      <c r="A21" s="118"/>
      <c r="B21" s="140" t="s">
        <v>109</v>
      </c>
      <c r="C21" s="141">
        <f>rf+beta*mrp</f>
        <v>0.123944</v>
      </c>
    </row>
    <row r="22" spans="1:37">
      <c r="A22" s="118"/>
      <c r="B22" s="135" t="s">
        <v>110</v>
      </c>
      <c r="C22" s="332">
        <f>'Supporting Schedules'!I71</f>
        <v>5.1119999999999999E-2</v>
      </c>
    </row>
    <row r="23" spans="1:37">
      <c r="A23" s="118"/>
      <c r="B23" s="142" t="s">
        <v>111</v>
      </c>
      <c r="C23" s="136">
        <f>'Supporting Schedules'!H27</f>
        <v>0.2955893787336325</v>
      </c>
    </row>
    <row r="24" spans="1:37">
      <c r="A24" s="118"/>
      <c r="B24" s="143" t="s">
        <v>112</v>
      </c>
      <c r="C24" s="207">
        <f>costofdebt*(1-taxrate)</f>
        <v>3.6009470959136702E-2</v>
      </c>
    </row>
    <row r="25" spans="1:37">
      <c r="A25" s="118"/>
      <c r="B25" s="144" t="s">
        <v>113</v>
      </c>
      <c r="C25" s="207">
        <f>IFERROR(C10*re+C12*rd,"")</f>
        <v>0.10045504783586431</v>
      </c>
    </row>
    <row r="26" spans="1:37">
      <c r="A26" s="118"/>
      <c r="D26" s="121"/>
      <c r="F26" s="121"/>
    </row>
    <row r="27" spans="1:37">
      <c r="A27" s="118"/>
      <c r="D27" s="121"/>
      <c r="F27" s="121"/>
    </row>
    <row r="28" spans="1:37">
      <c r="A28" s="120"/>
      <c r="B28" s="32" t="s">
        <v>114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</row>
    <row r="29" spans="1:37">
      <c r="A29" s="118"/>
      <c r="B29" s="39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45"/>
      <c r="V29" s="121"/>
      <c r="W29" s="121"/>
      <c r="X29" s="121"/>
      <c r="Y29" s="121"/>
      <c r="Z29" s="146"/>
      <c r="AA29" s="121"/>
      <c r="AB29" s="146"/>
      <c r="AK29" s="118"/>
    </row>
    <row r="30" spans="1:37" s="34" customFormat="1" ht="13.8">
      <c r="B30" s="32" t="s">
        <v>47</v>
      </c>
      <c r="C30" s="36"/>
      <c r="D30" s="36">
        <v>2020</v>
      </c>
      <c r="E30" s="36">
        <f t="shared" ref="E30:R30" si="0">D30+1</f>
        <v>2021</v>
      </c>
      <c r="F30" s="36">
        <f t="shared" si="0"/>
        <v>2022</v>
      </c>
      <c r="G30" s="36">
        <f t="shared" si="0"/>
        <v>2023</v>
      </c>
      <c r="H30" s="36">
        <f t="shared" si="0"/>
        <v>2024</v>
      </c>
      <c r="I30" s="37">
        <f t="shared" si="0"/>
        <v>2025</v>
      </c>
      <c r="J30" s="37">
        <f t="shared" si="0"/>
        <v>2026</v>
      </c>
      <c r="K30" s="37">
        <f t="shared" si="0"/>
        <v>2027</v>
      </c>
      <c r="L30" s="37">
        <f t="shared" si="0"/>
        <v>2028</v>
      </c>
      <c r="M30" s="37">
        <f t="shared" si="0"/>
        <v>2029</v>
      </c>
      <c r="N30" s="37">
        <f t="shared" si="0"/>
        <v>2030</v>
      </c>
      <c r="O30" s="37">
        <f t="shared" si="0"/>
        <v>2031</v>
      </c>
      <c r="P30" s="37">
        <f t="shared" si="0"/>
        <v>2032</v>
      </c>
      <c r="Q30" s="37">
        <f t="shared" si="0"/>
        <v>2033</v>
      </c>
      <c r="R30" s="37">
        <f t="shared" si="0"/>
        <v>2034</v>
      </c>
    </row>
    <row r="31" spans="1:37">
      <c r="A31" s="118"/>
      <c r="B31" s="39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45"/>
      <c r="V31" s="121"/>
      <c r="W31" s="121"/>
      <c r="X31" s="121"/>
      <c r="Y31" s="121"/>
      <c r="Z31" s="146"/>
      <c r="AA31" s="121"/>
      <c r="AB31" s="146"/>
      <c r="AK31" s="118"/>
    </row>
    <row r="32" spans="1:37">
      <c r="A32" s="118"/>
      <c r="B32" s="17" t="s">
        <v>59</v>
      </c>
      <c r="C32" s="118"/>
      <c r="D32" s="478">
        <f>'Financial Statements'!C25</f>
        <v>819.98599999999988</v>
      </c>
      <c r="E32" s="478">
        <f>'Financial Statements'!D25</f>
        <v>1333.355</v>
      </c>
      <c r="F32" s="478">
        <f>'Financial Statements'!E25</f>
        <v>1328.4079999999999</v>
      </c>
      <c r="G32" s="478">
        <f>'Financial Statements'!F25</f>
        <v>2132.6760000000004</v>
      </c>
      <c r="H32" s="478">
        <f>'Financial Statements'!G25</f>
        <v>2505.6970000000006</v>
      </c>
      <c r="I32" s="328">
        <f>'Financial Statements'!H25</f>
        <v>2026.2487354352861</v>
      </c>
      <c r="J32" s="328">
        <f>'Financial Statements'!I25</f>
        <v>2283.0780827264425</v>
      </c>
      <c r="K32" s="328">
        <f>'Financial Statements'!J25</f>
        <v>2523.5005630109799</v>
      </c>
      <c r="L32" s="328">
        <f>'Financial Statements'!K25</f>
        <v>2739.6965321814187</v>
      </c>
      <c r="M32" s="328">
        <f>'Financial Statements'!L25</f>
        <v>2925.5793335675407</v>
      </c>
      <c r="N32" s="328">
        <f>'Financial Statements'!M25</f>
        <v>3077.2082955856631</v>
      </c>
      <c r="O32" s="328">
        <f>'Financial Statements'!N25</f>
        <v>3192.9534542568817</v>
      </c>
      <c r="P32" s="328">
        <f>'Financial Statements'!O25</f>
        <v>3273.4218125904736</v>
      </c>
      <c r="Q32" s="328">
        <f>'Financial Statements'!P25</f>
        <v>3321.1891252162477</v>
      </c>
      <c r="R32" s="328">
        <f>'Financial Statements'!Q25</f>
        <v>3340.402366755503</v>
      </c>
      <c r="S32" s="118"/>
    </row>
    <row r="33" spans="1:20">
      <c r="A33" s="118"/>
      <c r="B33" s="147" t="s">
        <v>115</v>
      </c>
      <c r="C33" s="148"/>
      <c r="D33" s="324">
        <f>(1-'Supporting Schedules'!D27)</f>
        <v>0.71875633123817662</v>
      </c>
      <c r="E33" s="324">
        <f>(1-'Supporting Schedules'!E27)</f>
        <v>0.73119774130742976</v>
      </c>
      <c r="F33" s="324">
        <f>(1-'Supporting Schedules'!F27)</f>
        <v>0.64146675861924052</v>
      </c>
      <c r="G33" s="324">
        <f>(1-'Supporting Schedules'!G27)</f>
        <v>0.71249026191149212</v>
      </c>
      <c r="H33" s="324">
        <f>(1-'Supporting Schedules'!H27)</f>
        <v>0.70441062126636744</v>
      </c>
      <c r="I33" s="325">
        <f>(1-'Supporting Schedules'!I27)</f>
        <v>0.69700000000000006</v>
      </c>
      <c r="J33" s="325">
        <f>(1-'Supporting Schedules'!J27)</f>
        <v>0.69700000000000006</v>
      </c>
      <c r="K33" s="325">
        <f>(1-'Supporting Schedules'!K27)</f>
        <v>0.69700000000000006</v>
      </c>
      <c r="L33" s="325">
        <f>(1-'Supporting Schedules'!L27)</f>
        <v>0.69700000000000006</v>
      </c>
      <c r="M33" s="325">
        <f>(1-'Supporting Schedules'!M27)</f>
        <v>0.69700000000000006</v>
      </c>
      <c r="N33" s="325">
        <f>(1-'Supporting Schedules'!N27)</f>
        <v>0.69700000000000006</v>
      </c>
      <c r="O33" s="325">
        <f>(1-'Supporting Schedules'!O27)</f>
        <v>0.69700000000000006</v>
      </c>
      <c r="P33" s="325">
        <f>(1-'Supporting Schedules'!P27)</f>
        <v>0.69700000000000006</v>
      </c>
      <c r="Q33" s="325">
        <f>(1-'Supporting Schedules'!Q27)</f>
        <v>0.69700000000000006</v>
      </c>
      <c r="R33" s="325">
        <f>(1-'Supporting Schedules'!R27)</f>
        <v>0.69700000000000006</v>
      </c>
      <c r="S33" s="118"/>
    </row>
    <row r="34" spans="1:20">
      <c r="A34" s="118"/>
      <c r="B34" s="117" t="s">
        <v>116</v>
      </c>
      <c r="C34" s="149"/>
      <c r="D34" s="197">
        <f>D32*D33</f>
        <v>589.37012902666743</v>
      </c>
      <c r="E34" s="197">
        <f t="shared" ref="E34:R34" si="1">E32*E33</f>
        <v>974.94616436096806</v>
      </c>
      <c r="F34" s="197">
        <f t="shared" si="1"/>
        <v>852.12957388386803</v>
      </c>
      <c r="G34" s="197">
        <f t="shared" si="1"/>
        <v>1519.5108818123535</v>
      </c>
      <c r="H34" s="197">
        <f t="shared" si="1"/>
        <v>1765.0395804752734</v>
      </c>
      <c r="I34" s="477">
        <f t="shared" si="1"/>
        <v>1412.2953685983946</v>
      </c>
      <c r="J34" s="477">
        <f t="shared" si="1"/>
        <v>1591.3054236603307</v>
      </c>
      <c r="K34" s="477">
        <f t="shared" si="1"/>
        <v>1758.8798924186531</v>
      </c>
      <c r="L34" s="477">
        <f t="shared" si="1"/>
        <v>1909.5684829304489</v>
      </c>
      <c r="M34" s="477">
        <f t="shared" si="1"/>
        <v>2039.128795496576</v>
      </c>
      <c r="N34" s="477">
        <f t="shared" si="1"/>
        <v>2144.8141820232072</v>
      </c>
      <c r="O34" s="477">
        <f t="shared" si="1"/>
        <v>2225.4885576170468</v>
      </c>
      <c r="P34" s="477">
        <f t="shared" si="1"/>
        <v>2281.5750033755603</v>
      </c>
      <c r="Q34" s="477">
        <f t="shared" si="1"/>
        <v>2314.8688202757248</v>
      </c>
      <c r="R34" s="477">
        <f t="shared" si="1"/>
        <v>2328.2604496285858</v>
      </c>
      <c r="S34" s="118"/>
    </row>
    <row r="35" spans="1:20">
      <c r="A35" s="118"/>
      <c r="B35" s="118" t="s">
        <v>117</v>
      </c>
      <c r="C35" s="118"/>
      <c r="D35" s="478">
        <f>'Financial Statements'!C38</f>
        <v>185.47800000000001</v>
      </c>
      <c r="E35" s="478">
        <f>'Financial Statements'!D38</f>
        <v>224.20599999999999</v>
      </c>
      <c r="F35" s="478">
        <f>'Financial Statements'!E38</f>
        <v>291.791</v>
      </c>
      <c r="G35" s="478">
        <f>'Financial Statements'!F38</f>
        <v>379.38400000000001</v>
      </c>
      <c r="H35" s="478">
        <f>'Financial Statements'!G38</f>
        <v>446.524</v>
      </c>
      <c r="I35" s="328">
        <f>'Financial Statements'!H38</f>
        <v>523.50139799999999</v>
      </c>
      <c r="J35" s="328">
        <f>'Financial Statements'!I38</f>
        <v>601.53500575941405</v>
      </c>
      <c r="K35" s="328">
        <f>'Financial Statements'!J38</f>
        <v>685.98614714899304</v>
      </c>
      <c r="L35" s="328">
        <f>'Financial Statements'!K38</f>
        <v>773.09251835732675</v>
      </c>
      <c r="M35" s="328">
        <f>'Financial Statements'!L38</f>
        <v>859.30403126767146</v>
      </c>
      <c r="N35" s="328">
        <f>'Financial Statements'!M38</f>
        <v>941.41852828314711</v>
      </c>
      <c r="O35" s="328">
        <f>'Financial Statements'!N38</f>
        <v>1016.7248087673036</v>
      </c>
      <c r="P35" s="328">
        <f>'Financial Statements'!O38</f>
        <v>1083.1224359449727</v>
      </c>
      <c r="Q35" s="328">
        <f>'Financial Statements'!P38</f>
        <v>1139.1978909250222</v>
      </c>
      <c r="R35" s="328">
        <f>'Financial Statements'!Q38</f>
        <v>1184.2476764346325</v>
      </c>
      <c r="S35" s="118"/>
    </row>
    <row r="36" spans="1:20">
      <c r="A36" s="118"/>
      <c r="B36" s="118" t="s">
        <v>118</v>
      </c>
      <c r="C36" s="118"/>
      <c r="D36" s="478">
        <f>SUM('Financial Statements'!C121:C132)</f>
        <v>-47.549000000000014</v>
      </c>
      <c r="E36" s="478">
        <f>SUM('Financial Statements'!D121:D132)</f>
        <v>129.13100000000006</v>
      </c>
      <c r="F36" s="478">
        <f>SUM('Financial Statements'!E121:E132)</f>
        <v>-659.91999999999985</v>
      </c>
      <c r="G36" s="478">
        <f>SUM('Financial Statements'!F121:F132)</f>
        <v>199.22299999999998</v>
      </c>
      <c r="H36" s="478">
        <f>SUM('Financial Statements'!G121:G132)</f>
        <v>-51.894999999999953</v>
      </c>
      <c r="I36" s="328">
        <f>'Supporting Schedules'!I65</f>
        <v>112.93312649353808</v>
      </c>
      <c r="J36" s="328">
        <f>'Supporting Schedules'!J65</f>
        <v>-65.149945097532566</v>
      </c>
      <c r="K36" s="328">
        <f>'Supporting Schedules'!K65</f>
        <v>-60.835867891062719</v>
      </c>
      <c r="L36" s="328">
        <f>'Supporting Schedules'!L65</f>
        <v>-54.383158988418728</v>
      </c>
      <c r="M36" s="328">
        <f>'Supporting Schedules'!M65</f>
        <v>-46.93623349398473</v>
      </c>
      <c r="N36" s="328">
        <f>'Supporting Schedules'!N65</f>
        <v>-38.485612749532095</v>
      </c>
      <c r="O36" s="328">
        <f>'Supporting Schedules'!O65</f>
        <v>-28.851030621272685</v>
      </c>
      <c r="P36" s="328">
        <f>'Supporting Schedules'!P65</f>
        <v>-20.057815782347973</v>
      </c>
      <c r="Q36" s="328">
        <f>'Supporting Schedules'!Q65</f>
        <v>-70.653390177909699</v>
      </c>
      <c r="R36" s="328">
        <f>'Supporting Schedules'!R65</f>
        <v>-64.215051964925266</v>
      </c>
      <c r="S36" s="118"/>
    </row>
    <row r="37" spans="1:20">
      <c r="A37" s="118"/>
      <c r="B37" s="118" t="s">
        <v>119</v>
      </c>
      <c r="C37" s="118"/>
      <c r="D37" s="478">
        <f>'Supporting Schedules'!D95</f>
        <v>50.796999999999997</v>
      </c>
      <c r="E37" s="478">
        <f>'Supporting Schedules'!E95</f>
        <v>69.137</v>
      </c>
      <c r="F37" s="478">
        <f>'Supporting Schedules'!F95</f>
        <v>78.075000000000003</v>
      </c>
      <c r="G37" s="478">
        <f>'Supporting Schedules'!G95</f>
        <v>93.56</v>
      </c>
      <c r="H37" s="478">
        <f>'Supporting Schedules'!H95</f>
        <v>90.010999999999996</v>
      </c>
      <c r="I37" s="328">
        <f>'Supporting Schedules'!I95</f>
        <v>119.53361099330763</v>
      </c>
      <c r="J37" s="328">
        <f>'Supporting Schedules'!J95</f>
        <v>134.66420999940561</v>
      </c>
      <c r="K37" s="328">
        <f>'Supporting Schedules'!K95</f>
        <v>148.82823050409078</v>
      </c>
      <c r="L37" s="328">
        <f>'Supporting Schedules'!L95</f>
        <v>161.56499345877074</v>
      </c>
      <c r="M37" s="328">
        <f>'Supporting Schedules'!M95</f>
        <v>172.51591538248354</v>
      </c>
      <c r="N37" s="328">
        <f>'Supporting Schedules'!N95</f>
        <v>181.44883931117383</v>
      </c>
      <c r="O37" s="328">
        <f>'Supporting Schedules'!O95</f>
        <v>188.26773910289444</v>
      </c>
      <c r="P37" s="328">
        <f>'Supporting Schedules'!P95</f>
        <v>193.00837515351026</v>
      </c>
      <c r="Q37" s="328">
        <f>'Supporting Schedules'!Q95</f>
        <v>195.82249301255754</v>
      </c>
      <c r="R37" s="328">
        <f>'Supporting Schedules'!R95</f>
        <v>196.95440358432029</v>
      </c>
      <c r="S37" s="118"/>
    </row>
    <row r="38" spans="1:20">
      <c r="A38" s="118"/>
      <c r="B38" s="148" t="s">
        <v>120</v>
      </c>
      <c r="C38" s="148"/>
      <c r="D38" s="479">
        <f>-'Supporting Schedules'!D78</f>
        <v>-259.47199999999998</v>
      </c>
      <c r="E38" s="479">
        <f>-'Supporting Schedules'!E78</f>
        <v>-406.22899999999993</v>
      </c>
      <c r="F38" s="479">
        <f>-'Supporting Schedules'!F78</f>
        <v>-633.69499999999994</v>
      </c>
      <c r="G38" s="479">
        <f>-'Supporting Schedules'!G78</f>
        <v>-655.5809999999999</v>
      </c>
      <c r="H38" s="479">
        <f>-'Supporting Schedules'!H78</f>
        <v>-681.33000000000015</v>
      </c>
      <c r="I38" s="329">
        <f>-'Supporting Schedules'!I78</f>
        <v>-788.92183255583041</v>
      </c>
      <c r="J38" s="329">
        <f>-'Supporting Schedules'!J78</f>
        <v>-888.78378599607709</v>
      </c>
      <c r="K38" s="329">
        <f>-'Supporting Schedules'!K78</f>
        <v>-982.2663213269991</v>
      </c>
      <c r="L38" s="329">
        <f>-'Supporting Schedules'!L78</f>
        <v>-1066.3289568278869</v>
      </c>
      <c r="M38" s="329">
        <f>-'Supporting Schedules'!M78</f>
        <v>-1138.6050415243915</v>
      </c>
      <c r="N38" s="329">
        <f>-'Supporting Schedules'!N78</f>
        <v>-1197.5623394537474</v>
      </c>
      <c r="O38" s="329">
        <f>-'Supporting Schedules'!O78</f>
        <v>-1242.5670780791033</v>
      </c>
      <c r="P38" s="329">
        <f>-'Supporting Schedules'!P78</f>
        <v>-1273.8552760131677</v>
      </c>
      <c r="Q38" s="329">
        <f>-'Supporting Schedules'!Q78</f>
        <v>-1292.4284538828797</v>
      </c>
      <c r="R38" s="329">
        <f>-'Supporting Schedules'!R78</f>
        <v>-1299.8990636565138</v>
      </c>
      <c r="S38" s="118"/>
    </row>
    <row r="39" spans="1:20">
      <c r="A39" s="118"/>
      <c r="B39" s="117" t="s">
        <v>121</v>
      </c>
      <c r="C39" s="150"/>
      <c r="D39" s="198">
        <f t="shared" ref="D39:R39" si="2">SUM(D34:D38)</f>
        <v>518.62412902666756</v>
      </c>
      <c r="E39" s="198">
        <f t="shared" si="2"/>
        <v>991.19116436096817</v>
      </c>
      <c r="F39" s="198">
        <f t="shared" si="2"/>
        <v>-71.619426116131763</v>
      </c>
      <c r="G39" s="198">
        <f t="shared" si="2"/>
        <v>1536.0968818123536</v>
      </c>
      <c r="H39" s="198">
        <f t="shared" si="2"/>
        <v>1568.3495804752731</v>
      </c>
      <c r="I39" s="196">
        <f t="shared" si="2"/>
        <v>1379.3416715294102</v>
      </c>
      <c r="J39" s="196">
        <f t="shared" si="2"/>
        <v>1373.5709083255408</v>
      </c>
      <c r="K39" s="196">
        <f t="shared" si="2"/>
        <v>1550.592080853675</v>
      </c>
      <c r="L39" s="196">
        <f t="shared" si="2"/>
        <v>1723.5138789302405</v>
      </c>
      <c r="M39" s="196">
        <f t="shared" si="2"/>
        <v>1885.4074671283549</v>
      </c>
      <c r="N39" s="196">
        <f t="shared" si="2"/>
        <v>2031.6335974142485</v>
      </c>
      <c r="O39" s="196">
        <f t="shared" si="2"/>
        <v>2159.062996786869</v>
      </c>
      <c r="P39" s="196">
        <f t="shared" si="2"/>
        <v>2263.7927226785278</v>
      </c>
      <c r="Q39" s="196">
        <f t="shared" si="2"/>
        <v>2286.8073601525148</v>
      </c>
      <c r="R39" s="196">
        <f t="shared" si="2"/>
        <v>2345.3484140260989</v>
      </c>
      <c r="S39" s="118"/>
    </row>
    <row r="40" spans="1:20">
      <c r="A40" s="118"/>
      <c r="B40" s="118" t="s">
        <v>122</v>
      </c>
      <c r="C40" s="150"/>
      <c r="D40" s="289"/>
      <c r="E40" s="289"/>
      <c r="F40" s="289"/>
      <c r="G40" s="289"/>
      <c r="H40" s="289"/>
      <c r="I40" s="323">
        <f t="shared" ref="I40:R40" si="3">(1-wacc)^I41</f>
        <v>0.89954495216413566</v>
      </c>
      <c r="J40" s="323">
        <f t="shared" si="3"/>
        <v>0.8091811209639771</v>
      </c>
      <c r="K40" s="323">
        <f t="shared" si="3"/>
        <v>0.7278947927496624</v>
      </c>
      <c r="L40" s="323">
        <f t="shared" si="3"/>
        <v>0.65477408652451852</v>
      </c>
      <c r="M40" s="323">
        <f t="shared" si="3"/>
        <v>0.58899872434101364</v>
      </c>
      <c r="N40" s="323">
        <f t="shared" si="3"/>
        <v>0.52983082931207404</v>
      </c>
      <c r="O40" s="323">
        <f t="shared" si="3"/>
        <v>0.47660664800861391</v>
      </c>
      <c r="P40" s="323">
        <f t="shared" si="3"/>
        <v>0.42872910438401768</v>
      </c>
      <c r="Q40" s="323">
        <f t="shared" si="3"/>
        <v>0.38566110169449391</v>
      </c>
      <c r="R40" s="323">
        <f t="shared" si="3"/>
        <v>0.34691949727534138</v>
      </c>
      <c r="S40" s="118"/>
    </row>
    <row r="41" spans="1:20">
      <c r="A41" s="118"/>
      <c r="B41" s="118" t="s">
        <v>413</v>
      </c>
      <c r="C41" s="150"/>
      <c r="D41" s="289"/>
      <c r="E41" s="289"/>
      <c r="F41" s="289"/>
      <c r="G41" s="289"/>
      <c r="H41" s="289"/>
      <c r="I41" s="327">
        <v>1</v>
      </c>
      <c r="J41" s="326">
        <f>I41+1</f>
        <v>2</v>
      </c>
      <c r="K41" s="326">
        <f t="shared" ref="K41:R41" si="4">J41+1</f>
        <v>3</v>
      </c>
      <c r="L41" s="326">
        <f t="shared" si="4"/>
        <v>4</v>
      </c>
      <c r="M41" s="326">
        <f t="shared" si="4"/>
        <v>5</v>
      </c>
      <c r="N41" s="326">
        <f t="shared" si="4"/>
        <v>6</v>
      </c>
      <c r="O41" s="326">
        <f t="shared" si="4"/>
        <v>7</v>
      </c>
      <c r="P41" s="326">
        <f t="shared" si="4"/>
        <v>8</v>
      </c>
      <c r="Q41" s="326">
        <f t="shared" si="4"/>
        <v>9</v>
      </c>
      <c r="R41" s="326">
        <f t="shared" si="4"/>
        <v>10</v>
      </c>
      <c r="S41" s="118"/>
    </row>
    <row r="42" spans="1:20">
      <c r="A42" s="118"/>
      <c r="B42" s="117" t="s">
        <v>123</v>
      </c>
      <c r="C42" s="150"/>
      <c r="D42" s="198">
        <f>D39*D40</f>
        <v>0</v>
      </c>
      <c r="E42" s="198">
        <f t="shared" ref="E42:R42" si="5">E39*E40</f>
        <v>0</v>
      </c>
      <c r="F42" s="198">
        <f t="shared" si="5"/>
        <v>0</v>
      </c>
      <c r="G42" s="198">
        <f t="shared" si="5"/>
        <v>0</v>
      </c>
      <c r="H42" s="198">
        <f t="shared" si="5"/>
        <v>0</v>
      </c>
      <c r="I42" s="196">
        <f t="shared" si="5"/>
        <v>1240.7798379339222</v>
      </c>
      <c r="J42" s="196">
        <f t="shared" si="5"/>
        <v>1111.4676473223694</v>
      </c>
      <c r="K42" s="196">
        <f t="shared" si="5"/>
        <v>1128.6679013322535</v>
      </c>
      <c r="L42" s="196">
        <f t="shared" si="5"/>
        <v>1128.5122256888778</v>
      </c>
      <c r="M42" s="196">
        <f t="shared" si="5"/>
        <v>1110.5025930016227</v>
      </c>
      <c r="N42" s="196">
        <f t="shared" si="5"/>
        <v>1076.4221137762636</v>
      </c>
      <c r="O42" s="196">
        <f t="shared" si="5"/>
        <v>1029.0237777380223</v>
      </c>
      <c r="P42" s="196">
        <f t="shared" si="5"/>
        <v>970.55382650502213</v>
      </c>
      <c r="Q42" s="196">
        <f t="shared" si="5"/>
        <v>881.93264587949614</v>
      </c>
      <c r="R42" s="196">
        <f t="shared" si="5"/>
        <v>813.64709272945345</v>
      </c>
      <c r="S42" s="118"/>
    </row>
    <row r="43" spans="1:20">
      <c r="A43" s="117"/>
      <c r="B43" s="118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</row>
    <row r="44" spans="1:20">
      <c r="A44" s="117"/>
      <c r="B44" s="118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</row>
    <row r="45" spans="1:20">
      <c r="A45" s="120"/>
      <c r="B45" s="32" t="s">
        <v>124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</row>
    <row r="46" spans="1:20">
      <c r="A46" s="117"/>
      <c r="B46" s="118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</row>
    <row r="47" spans="1:20" ht="15.6">
      <c r="A47" s="117"/>
      <c r="B47" s="151" t="s">
        <v>125</v>
      </c>
      <c r="C47" s="152"/>
      <c r="D47" s="333"/>
      <c r="E47" s="118"/>
      <c r="F47"/>
      <c r="G47"/>
      <c r="H47" s="347" t="s">
        <v>113</v>
      </c>
      <c r="I47" s="348"/>
      <c r="J47" s="348"/>
      <c r="K47" s="348"/>
      <c r="L47" s="349"/>
    </row>
    <row r="48" spans="1:20" ht="15.6">
      <c r="A48" s="117"/>
      <c r="B48" s="153" t="s">
        <v>126</v>
      </c>
      <c r="C48" s="118"/>
      <c r="D48" s="334">
        <v>0.02</v>
      </c>
      <c r="E48" s="118"/>
      <c r="F48"/>
      <c r="G48" s="350">
        <f>D59</f>
        <v>362.18832055940783</v>
      </c>
      <c r="H48" s="351">
        <f>I48+0.01</f>
        <v>0.1204550478358643</v>
      </c>
      <c r="I48" s="352">
        <f>J48+0.01</f>
        <v>0.11045504783586431</v>
      </c>
      <c r="J48" s="352">
        <v>0.10045504783586431</v>
      </c>
      <c r="K48" s="352">
        <f>J48-0.01</f>
        <v>9.0455047835864319E-2</v>
      </c>
      <c r="L48" s="352">
        <f>K48-0.01</f>
        <v>8.0455047835864324E-2</v>
      </c>
    </row>
    <row r="49" spans="1:20" ht="14.4">
      <c r="A49" s="117"/>
      <c r="B49" s="153" t="s">
        <v>127</v>
      </c>
      <c r="C49" s="118"/>
      <c r="D49" s="335">
        <f>IFERROR(R39*(1+tgr)/(wacc-tgr)," ")</f>
        <v>29734.062021652659</v>
      </c>
      <c r="E49" s="118"/>
      <c r="F49" s="498" t="s">
        <v>126</v>
      </c>
      <c r="G49" s="353">
        <f>G50+0.005</f>
        <v>3.0000000000000002E-2</v>
      </c>
      <c r="H49" s="354">
        <f t="dataTable" ref="H49:L53" dt2D="1" dtr="1" r1="C25" r2="D48"/>
        <v>325.07275154075995</v>
      </c>
      <c r="I49" s="355">
        <v>359.56251253608025</v>
      </c>
      <c r="J49" s="355">
        <v>402.77281272216794</v>
      </c>
      <c r="K49" s="355">
        <v>458.89290956349868</v>
      </c>
      <c r="L49" s="356">
        <v>535.41759621389724</v>
      </c>
    </row>
    <row r="50" spans="1:20" ht="14.4">
      <c r="A50" s="117"/>
      <c r="B50" s="154" t="s">
        <v>218</v>
      </c>
      <c r="C50" s="118"/>
      <c r="D50" s="336">
        <f>IFERROR(D49/D53,0)</f>
        <v>0.7391830812389637</v>
      </c>
      <c r="E50" s="118"/>
      <c r="F50" s="499"/>
      <c r="G50" s="357">
        <f>G51+0.005</f>
        <v>2.5000000000000001E-2</v>
      </c>
      <c r="H50" s="354">
        <v>311.5088085682824</v>
      </c>
      <c r="I50" s="355">
        <v>342.68015130777604</v>
      </c>
      <c r="J50" s="355">
        <v>381.1359086846017</v>
      </c>
      <c r="K50" s="355">
        <v>430.08874533456219</v>
      </c>
      <c r="L50" s="358">
        <v>495.05452341164516</v>
      </c>
    </row>
    <row r="51" spans="1:20" ht="14.4">
      <c r="A51" s="117"/>
      <c r="B51" s="155" t="s">
        <v>128</v>
      </c>
      <c r="C51" s="118"/>
      <c r="D51" s="198">
        <f>SUM(D42:R42)</f>
        <v>10491.509661907305</v>
      </c>
      <c r="E51" s="118"/>
      <c r="F51" s="499"/>
      <c r="G51" s="357">
        <v>0.02</v>
      </c>
      <c r="H51" s="354">
        <v>299.29511560958622</v>
      </c>
      <c r="I51" s="355">
        <v>327.66417140723792</v>
      </c>
      <c r="J51" s="355">
        <v>362.18832055940783</v>
      </c>
      <c r="K51" s="355">
        <v>405.37288494100733</v>
      </c>
      <c r="L51" s="358">
        <v>461.36799363551722</v>
      </c>
    </row>
    <row r="52" spans="1:20" ht="14.4">
      <c r="A52" s="117"/>
      <c r="B52" s="156" t="s">
        <v>219</v>
      </c>
      <c r="C52" s="148"/>
      <c r="D52" s="337">
        <f>IFERROR(D51/D53,0)</f>
        <v>0.26081691876103641</v>
      </c>
      <c r="E52" s="118"/>
      <c r="F52" s="499"/>
      <c r="G52" s="357">
        <f>G51-0.005</f>
        <v>1.4999999999999999E-2</v>
      </c>
      <c r="H52" s="354">
        <v>288.23961215526589</v>
      </c>
      <c r="I52" s="355">
        <v>314.22128588368417</v>
      </c>
      <c r="J52" s="355">
        <v>345.45799034992967</v>
      </c>
      <c r="K52" s="355">
        <v>383.93259869423702</v>
      </c>
      <c r="L52" s="358">
        <v>432.82797751874796</v>
      </c>
    </row>
    <row r="53" spans="1:20" ht="14.4">
      <c r="A53" s="117"/>
      <c r="B53" s="157" t="s">
        <v>129</v>
      </c>
      <c r="C53" s="118"/>
      <c r="D53" s="338">
        <f>SUM(D49,D51)</f>
        <v>40225.57168355996</v>
      </c>
      <c r="E53" s="118"/>
      <c r="F53" s="500"/>
      <c r="G53" s="359">
        <f>G52-0.005</f>
        <v>9.9999999999999985E-3</v>
      </c>
      <c r="H53" s="360">
        <v>278.18501392627758</v>
      </c>
      <c r="I53" s="361">
        <v>302.11659946641316</v>
      </c>
      <c r="J53" s="361">
        <v>330.5772341122476</v>
      </c>
      <c r="K53" s="361">
        <v>365.15719014296081</v>
      </c>
      <c r="L53" s="362">
        <v>408.33877351458415</v>
      </c>
    </row>
    <row r="54" spans="1:20" ht="13.8">
      <c r="A54" s="117"/>
      <c r="B54" s="208" t="s">
        <v>214</v>
      </c>
      <c r="C54" s="118"/>
      <c r="D54" s="447">
        <f>-C11</f>
        <v>-1576</v>
      </c>
      <c r="E54" s="118"/>
      <c r="F54" s="20"/>
      <c r="G54" s="20"/>
      <c r="H54" s="20"/>
      <c r="I54" s="344"/>
    </row>
    <row r="55" spans="1:20" ht="13.8">
      <c r="A55" s="117"/>
      <c r="B55" s="208" t="s">
        <v>220</v>
      </c>
      <c r="C55" s="118"/>
      <c r="D55" s="339">
        <f>'Financial Statements'!G46</f>
        <v>1984.336</v>
      </c>
      <c r="E55" s="118"/>
      <c r="F55" s="88"/>
      <c r="G55" s="20"/>
      <c r="H55" s="20"/>
      <c r="I55" s="343"/>
    </row>
    <row r="56" spans="1:20" ht="13.8">
      <c r="A56" s="159"/>
      <c r="B56" s="160" t="s">
        <v>212</v>
      </c>
      <c r="C56" s="158"/>
      <c r="D56" s="340">
        <v>0</v>
      </c>
      <c r="E56" s="118"/>
      <c r="F56" s="20"/>
      <c r="G56" s="20"/>
      <c r="H56" s="20"/>
      <c r="I56" s="344"/>
    </row>
    <row r="57" spans="1:20" ht="13.8">
      <c r="A57" s="159"/>
      <c r="B57" s="161" t="s">
        <v>130</v>
      </c>
      <c r="C57" s="118"/>
      <c r="D57" s="338">
        <f>SUM(D53:D56)</f>
        <v>40633.907683559963</v>
      </c>
      <c r="E57" s="118"/>
      <c r="F57" s="88"/>
      <c r="G57" s="20"/>
      <c r="H57" s="20"/>
      <c r="I57" s="343"/>
      <c r="J57" s="150"/>
      <c r="K57" s="150"/>
      <c r="L57" s="150"/>
      <c r="M57" s="150"/>
      <c r="N57" s="150"/>
      <c r="O57" s="150"/>
      <c r="P57" s="150"/>
    </row>
    <row r="58" spans="1:20" ht="13.8">
      <c r="A58" s="159"/>
      <c r="B58" s="162" t="s">
        <v>131</v>
      </c>
      <c r="C58" s="158"/>
      <c r="D58" s="476">
        <f>Comparables!dilutedshares</f>
        <v>112.19</v>
      </c>
      <c r="E58" s="118"/>
      <c r="F58" s="20"/>
      <c r="G58" s="20"/>
      <c r="H58" s="20"/>
      <c r="I58" s="344"/>
      <c r="J58" s="150"/>
      <c r="K58" s="150"/>
      <c r="L58" s="150"/>
      <c r="M58" s="150"/>
      <c r="N58" s="150"/>
      <c r="O58" s="150"/>
      <c r="P58" s="150"/>
    </row>
    <row r="59" spans="1:20" ht="13.8">
      <c r="A59" s="159"/>
      <c r="B59" s="163" t="s">
        <v>132</v>
      </c>
      <c r="C59" s="118"/>
      <c r="D59" s="341">
        <f>IFERROR(D57/D58,"")</f>
        <v>362.18832055940783</v>
      </c>
      <c r="E59" s="118"/>
      <c r="F59" s="88"/>
      <c r="G59" s="20"/>
      <c r="H59" s="20"/>
      <c r="I59" s="345"/>
      <c r="J59" s="150"/>
      <c r="K59" s="150"/>
      <c r="L59" s="150"/>
      <c r="M59" s="150"/>
      <c r="N59" s="150"/>
      <c r="O59" s="150"/>
      <c r="P59" s="150"/>
    </row>
    <row r="60" spans="1:20">
      <c r="A60" s="118"/>
      <c r="B60" s="164" t="s">
        <v>133</v>
      </c>
      <c r="C60" s="150"/>
      <c r="D60" s="342">
        <f>currentprice</f>
        <v>212.54</v>
      </c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</row>
    <row r="61" spans="1:20">
      <c r="A61" s="118"/>
      <c r="B61" s="165" t="s">
        <v>134</v>
      </c>
      <c r="C61" s="166"/>
      <c r="D61" s="167">
        <f>IFERROR(D59/D60-1,"")</f>
        <v>0.70409485536561522</v>
      </c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</row>
    <row r="62" spans="1:20">
      <c r="A62" s="118"/>
      <c r="B62" s="182"/>
      <c r="C62" s="150"/>
      <c r="D62" s="183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</row>
    <row r="63" spans="1:20">
      <c r="A63" s="118"/>
      <c r="B63" s="16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</row>
    <row r="64" spans="1:20" hidden="1">
      <c r="A64" s="118"/>
      <c r="B64" s="117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</row>
    <row r="65" spans="1:20" hidden="1">
      <c r="A65" s="118"/>
      <c r="B65" s="118"/>
      <c r="C65" s="118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</row>
    <row r="66" spans="1:20" hidden="1">
      <c r="A66" s="118"/>
      <c r="B66" s="118"/>
      <c r="C66" s="118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</row>
    <row r="67" spans="1:20"/>
  </sheetData>
  <mergeCells count="1">
    <mergeCell ref="F49:F53"/>
  </mergeCells>
  <conditionalFormatting sqref="B49 D49">
    <cfRule type="cellIs" dxfId="12" priority="2" stopIfTrue="1" operator="equal">
      <formula>"ERROR"</formula>
    </cfRule>
  </conditionalFormatting>
  <conditionalFormatting sqref="C39:C44 J57:P59 C60:C64">
    <cfRule type="cellIs" dxfId="11" priority="5" stopIfTrue="1" operator="equal">
      <formula>#REF!</formula>
    </cfRule>
  </conditionalFormatting>
  <conditionalFormatting sqref="D43:T44 C46:T46">
    <cfRule type="cellIs" dxfId="10" priority="3" stopIfTrue="1" operator="equal">
      <formula>#REF!</formula>
    </cfRule>
  </conditionalFormatting>
  <conditionalFormatting sqref="D60:T66">
    <cfRule type="cellIs" dxfId="9" priority="4" stopIfTrue="1" operator="equal">
      <formula>#REF!</formula>
    </cfRule>
  </conditionalFormatting>
  <conditionalFormatting sqref="H49:L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">
    <cfRule type="cellIs" dxfId="8" priority="8" operator="equal">
      <formula>"Check"</formula>
    </cfRule>
  </conditionalFormatting>
  <conditionalFormatting sqref="Z29 Z31">
    <cfRule type="cellIs" dxfId="7" priority="7" stopIfTrue="1" operator="equal">
      <formula>#REF!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D013-8D39-4B1C-948F-62BFCFB5AB34}">
  <sheetPr codeName="Sheet7">
    <tabColor rgb="FFA4C298"/>
  </sheetPr>
  <dimension ref="A1:Y61"/>
  <sheetViews>
    <sheetView showGridLines="0" topLeftCell="H8" zoomScale="85" zoomScaleNormal="85" workbookViewId="0">
      <selection activeCell="T32" sqref="R32:T32"/>
    </sheetView>
  </sheetViews>
  <sheetFormatPr defaultColWidth="0" defaultRowHeight="13.2" zeroHeight="1"/>
  <cols>
    <col min="1" max="1" width="2.5" style="17" customWidth="1"/>
    <col min="2" max="2" width="36.5" style="17" customWidth="1"/>
    <col min="3" max="22" width="18.296875" style="17" customWidth="1"/>
    <col min="23" max="24" width="5" style="17" customWidth="1"/>
    <col min="25" max="25" width="0" style="17" hidden="1" customWidth="1"/>
    <col min="26" max="16384" width="8.796875" style="17" hidden="1"/>
  </cols>
  <sheetData>
    <row r="1" spans="1:22" s="33" customFormat="1" ht="17.399999999999999">
      <c r="B1" s="32" t="s">
        <v>4</v>
      </c>
      <c r="R1" s="34"/>
      <c r="S1" s="34"/>
      <c r="T1" s="34"/>
      <c r="U1" s="34"/>
      <c r="V1" s="34"/>
    </row>
    <row r="2" spans="1:22" s="33" customFormat="1" ht="17.399999999999999">
      <c r="B2" s="32" t="str">
        <f>company</f>
        <v>lululemon athletica inc.</v>
      </c>
      <c r="R2" s="34"/>
      <c r="S2" s="34"/>
      <c r="T2" s="34"/>
      <c r="U2" s="34"/>
      <c r="V2" s="34"/>
    </row>
    <row r="3" spans="1:22" s="33" customFormat="1" ht="17.399999999999999">
      <c r="B3" s="32" t="s">
        <v>45</v>
      </c>
      <c r="R3" s="34"/>
      <c r="S3" s="34"/>
      <c r="T3" s="34"/>
      <c r="U3" s="34"/>
      <c r="V3" s="34"/>
    </row>
    <row r="4" spans="1:22" s="33" customFormat="1" ht="17.399999999999999">
      <c r="B4" s="32" t="s">
        <v>135</v>
      </c>
      <c r="C4" s="35"/>
      <c r="D4" s="35"/>
      <c r="E4" s="35"/>
      <c r="F4" s="35"/>
      <c r="R4" s="34"/>
      <c r="S4" s="34"/>
      <c r="T4" s="34"/>
      <c r="U4" s="34"/>
      <c r="V4" s="34"/>
    </row>
    <row r="5" spans="1:22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9"/>
      <c r="T5" s="119"/>
      <c r="U5" s="119"/>
      <c r="V5" s="119"/>
    </row>
    <row r="6" spans="1:22" ht="15.6">
      <c r="B6" s="17" t="s">
        <v>166</v>
      </c>
      <c r="C6" s="420">
        <v>212.54</v>
      </c>
      <c r="D6" s="372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2" ht="15.6">
      <c r="B7" s="17" t="s">
        <v>165</v>
      </c>
      <c r="C7" s="421">
        <v>112.19</v>
      </c>
      <c r="D7" s="373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2" ht="15.6">
      <c r="B8" s="17" t="s">
        <v>136</v>
      </c>
      <c r="C8" s="421">
        <v>24513.4</v>
      </c>
      <c r="D8" s="372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2" ht="15.6">
      <c r="B9" s="17" t="s">
        <v>308</v>
      </c>
      <c r="C9" s="421">
        <v>1035.9000000000001</v>
      </c>
      <c r="D9" s="372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2" ht="15.6">
      <c r="B10" s="17" t="s">
        <v>309</v>
      </c>
      <c r="C10" s="421">
        <v>1762.8</v>
      </c>
      <c r="D10" s="372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2" ht="15.6">
      <c r="B11" s="17" t="s">
        <v>137</v>
      </c>
      <c r="C11" s="421">
        <v>726.89999999999986</v>
      </c>
      <c r="D11" s="372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2" ht="15.6">
      <c r="B12" s="17" t="s">
        <v>138</v>
      </c>
      <c r="C12" s="421">
        <v>25240.3</v>
      </c>
      <c r="D12" s="372"/>
      <c r="E12" s="374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2" ht="15.6">
      <c r="B13"/>
      <c r="C13"/>
      <c r="D13" s="375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2" ht="15.6">
      <c r="B14"/>
      <c r="C14"/>
      <c r="D14" s="375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2" s="169" customFormat="1">
      <c r="B15" s="32" t="s">
        <v>139</v>
      </c>
      <c r="C15" s="170"/>
      <c r="D15" s="170"/>
      <c r="E15" s="170"/>
      <c r="F15" s="170"/>
    </row>
    <row r="16" spans="1:22" ht="15.6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2:23" s="172" customFormat="1" ht="16.8" customHeight="1">
      <c r="B17" s="413" t="s">
        <v>140</v>
      </c>
      <c r="H17" s="501" t="s">
        <v>57</v>
      </c>
      <c r="I17" s="502"/>
      <c r="J17" s="502"/>
      <c r="K17" s="502" t="s">
        <v>141</v>
      </c>
      <c r="L17" s="502"/>
      <c r="M17" s="502"/>
      <c r="N17" s="424"/>
      <c r="O17" s="501" t="s">
        <v>319</v>
      </c>
      <c r="P17" s="502"/>
      <c r="Q17" s="502"/>
      <c r="R17" s="502"/>
      <c r="S17" s="502"/>
      <c r="T17" s="502"/>
      <c r="U17" s="254"/>
      <c r="V17" s="257"/>
      <c r="W17" s="173"/>
    </row>
    <row r="18" spans="2:23" s="174" customFormat="1" ht="33" customHeight="1" thickBot="1">
      <c r="B18" s="412" t="s">
        <v>142</v>
      </c>
      <c r="C18" s="376" t="s">
        <v>143</v>
      </c>
      <c r="D18" s="377" t="s">
        <v>1</v>
      </c>
      <c r="E18" s="377" t="s">
        <v>164</v>
      </c>
      <c r="F18" s="377" t="s">
        <v>144</v>
      </c>
      <c r="G18" s="377" t="s">
        <v>138</v>
      </c>
      <c r="H18" s="425" t="s">
        <v>320</v>
      </c>
      <c r="I18" s="431" t="s">
        <v>321</v>
      </c>
      <c r="J18" s="431" t="s">
        <v>322</v>
      </c>
      <c r="K18" s="432" t="s">
        <v>323</v>
      </c>
      <c r="L18" s="432" t="s">
        <v>324</v>
      </c>
      <c r="M18" s="432" t="s">
        <v>325</v>
      </c>
      <c r="N18" s="432"/>
      <c r="O18" s="431" t="s">
        <v>326</v>
      </c>
      <c r="P18" s="431" t="s">
        <v>327</v>
      </c>
      <c r="Q18" s="431" t="s">
        <v>328</v>
      </c>
      <c r="R18" s="432" t="s">
        <v>329</v>
      </c>
      <c r="S18" s="432" t="s">
        <v>330</v>
      </c>
      <c r="T18" s="432" t="s">
        <v>331</v>
      </c>
      <c r="U18" s="258"/>
      <c r="V18" s="258"/>
    </row>
    <row r="19" spans="2:23" s="172" customFormat="1" ht="17.25" customHeight="1">
      <c r="B19" s="379" t="s">
        <v>310</v>
      </c>
      <c r="C19" s="380">
        <v>45927</v>
      </c>
      <c r="D19" s="381" t="s">
        <v>311</v>
      </c>
      <c r="E19" s="382">
        <v>18.170000000000002</v>
      </c>
      <c r="F19" s="383">
        <v>7009.5</v>
      </c>
      <c r="G19" s="383">
        <v>12471.5</v>
      </c>
      <c r="H19" s="383">
        <v>809.9</v>
      </c>
      <c r="I19" s="433">
        <v>815.77</v>
      </c>
      <c r="J19" s="433">
        <v>862.13</v>
      </c>
      <c r="K19" s="435">
        <f>$G19/H19</f>
        <v>15.39881466847759</v>
      </c>
      <c r="L19" s="435">
        <f t="shared" ref="L19:M24" si="0">$G19/I19</f>
        <v>15.288010100886279</v>
      </c>
      <c r="M19" s="435">
        <f t="shared" si="0"/>
        <v>14.465915813160429</v>
      </c>
      <c r="N19" s="434"/>
      <c r="O19" s="437">
        <v>0.74</v>
      </c>
      <c r="P19" s="438">
        <v>0.74</v>
      </c>
      <c r="Q19" s="438">
        <v>0.73</v>
      </c>
      <c r="R19" s="435">
        <f>$E19/O19</f>
        <v>24.554054054054056</v>
      </c>
      <c r="S19" s="435">
        <f t="shared" ref="S19:T24" si="1">$E19/P19</f>
        <v>24.554054054054056</v>
      </c>
      <c r="T19" s="435">
        <f t="shared" si="1"/>
        <v>24.890410958904113</v>
      </c>
      <c r="U19" s="255"/>
      <c r="V19" s="255"/>
    </row>
    <row r="20" spans="2:23" s="172" customFormat="1" ht="17.25" customHeight="1">
      <c r="B20" s="384" t="s">
        <v>427</v>
      </c>
      <c r="C20" s="392">
        <v>45927</v>
      </c>
      <c r="D20" s="385" t="s">
        <v>428</v>
      </c>
      <c r="E20" s="386">
        <v>129.53</v>
      </c>
      <c r="F20" s="387">
        <v>26674</v>
      </c>
      <c r="G20" s="387">
        <v>30130.1</v>
      </c>
      <c r="H20" s="387">
        <v>1430.3</v>
      </c>
      <c r="I20" s="387">
        <v>1571.2</v>
      </c>
      <c r="J20" s="387">
        <v>1643.7</v>
      </c>
      <c r="K20" s="435">
        <f t="shared" ref="K20:K24" si="2">$G20/H20</f>
        <v>21.065580647416624</v>
      </c>
      <c r="L20" s="435">
        <f t="shared" si="0"/>
        <v>19.17648930753564</v>
      </c>
      <c r="M20" s="435">
        <f t="shared" si="0"/>
        <v>18.330656445823447</v>
      </c>
      <c r="N20" s="184"/>
      <c r="O20" s="439">
        <v>4.29</v>
      </c>
      <c r="P20" s="439">
        <v>5.0999999999999996</v>
      </c>
      <c r="Q20" s="439">
        <v>5.6</v>
      </c>
      <c r="R20" s="435">
        <f t="shared" ref="R20:R24" si="3">$E20/O20</f>
        <v>30.193473193473192</v>
      </c>
      <c r="S20" s="435">
        <f t="shared" si="1"/>
        <v>25.398039215686275</v>
      </c>
      <c r="T20" s="435">
        <f t="shared" si="1"/>
        <v>23.130357142857143</v>
      </c>
      <c r="U20" s="255"/>
      <c r="V20" s="259"/>
    </row>
    <row r="21" spans="2:23" s="172" customFormat="1" ht="17.25" customHeight="1">
      <c r="B21" s="384" t="s">
        <v>312</v>
      </c>
      <c r="C21" s="392">
        <v>45927</v>
      </c>
      <c r="D21" s="385" t="s">
        <v>313</v>
      </c>
      <c r="E21" s="386">
        <v>356.89</v>
      </c>
      <c r="F21" s="387">
        <v>21642</v>
      </c>
      <c r="G21" s="387">
        <v>22868.7</v>
      </c>
      <c r="H21" s="387">
        <v>1024.9000000000001</v>
      </c>
      <c r="I21" s="433">
        <v>1209.5</v>
      </c>
      <c r="J21" s="433">
        <v>1423.35</v>
      </c>
      <c r="K21" s="435">
        <f t="shared" si="2"/>
        <v>22.313103717435848</v>
      </c>
      <c r="L21" s="435">
        <f t="shared" si="0"/>
        <v>18.907565109549402</v>
      </c>
      <c r="M21" s="435">
        <f t="shared" si="0"/>
        <v>16.06681420592265</v>
      </c>
      <c r="N21" s="434"/>
      <c r="O21" s="439">
        <v>10.31</v>
      </c>
      <c r="P21" s="438">
        <v>12.33</v>
      </c>
      <c r="Q21" s="438">
        <v>15.38</v>
      </c>
      <c r="R21" s="435">
        <f t="shared" si="3"/>
        <v>34.615906886517941</v>
      </c>
      <c r="S21" s="435">
        <f t="shared" si="1"/>
        <v>28.944849959448497</v>
      </c>
      <c r="T21" s="435">
        <f t="shared" si="1"/>
        <v>23.204811443433027</v>
      </c>
      <c r="U21" s="255"/>
      <c r="V21" s="184"/>
    </row>
    <row r="22" spans="2:23" s="172" customFormat="1" ht="17.25" customHeight="1">
      <c r="B22" s="384" t="s">
        <v>429</v>
      </c>
      <c r="C22" s="392">
        <v>45928</v>
      </c>
      <c r="D22" s="385" t="s">
        <v>430</v>
      </c>
      <c r="E22" s="386">
        <v>62.71</v>
      </c>
      <c r="F22" s="387">
        <v>9356.7999999999993</v>
      </c>
      <c r="G22" s="387">
        <v>11039.8</v>
      </c>
      <c r="H22" s="387">
        <v>814.5</v>
      </c>
      <c r="I22" s="433">
        <v>853.4</v>
      </c>
      <c r="J22" s="433">
        <v>909.63</v>
      </c>
      <c r="K22" s="435">
        <f t="shared" si="2"/>
        <v>13.554082259054633</v>
      </c>
      <c r="L22" s="435">
        <f t="shared" si="0"/>
        <v>12.936254980079681</v>
      </c>
      <c r="M22" s="435">
        <f t="shared" si="0"/>
        <v>12.136583006277277</v>
      </c>
      <c r="N22" s="434"/>
      <c r="O22" s="439">
        <v>3</v>
      </c>
      <c r="P22" s="438">
        <v>3.48</v>
      </c>
      <c r="Q22" s="438">
        <v>4.5199999999999996</v>
      </c>
      <c r="R22" s="435">
        <f t="shared" si="3"/>
        <v>20.903333333333332</v>
      </c>
      <c r="S22" s="435">
        <f t="shared" si="1"/>
        <v>18.020114942528735</v>
      </c>
      <c r="T22" s="435">
        <f t="shared" si="1"/>
        <v>13.873893805309736</v>
      </c>
      <c r="U22" s="255"/>
      <c r="V22" s="184"/>
    </row>
    <row r="23" spans="2:23" s="172" customFormat="1" ht="17.25" customHeight="1">
      <c r="B23" s="384" t="s">
        <v>314</v>
      </c>
      <c r="C23" s="392">
        <v>45963</v>
      </c>
      <c r="D23" s="385" t="s">
        <v>315</v>
      </c>
      <c r="E23" s="386">
        <v>68.22</v>
      </c>
      <c r="F23" s="387">
        <v>3124.7</v>
      </c>
      <c r="G23" s="387">
        <v>7226.5</v>
      </c>
      <c r="H23" s="387">
        <v>1216.5</v>
      </c>
      <c r="I23" s="433">
        <v>1147.4000000000001</v>
      </c>
      <c r="J23" s="433">
        <v>1040.49</v>
      </c>
      <c r="K23" s="435">
        <f t="shared" si="2"/>
        <v>5.9404027949034113</v>
      </c>
      <c r="L23" s="435">
        <f t="shared" si="0"/>
        <v>6.2981523444308865</v>
      </c>
      <c r="M23" s="435">
        <f t="shared" si="0"/>
        <v>6.9452853943814929</v>
      </c>
      <c r="N23" s="434"/>
      <c r="O23" s="439">
        <v>10.68</v>
      </c>
      <c r="P23" s="438">
        <v>11.74</v>
      </c>
      <c r="Q23" s="438">
        <v>10.9</v>
      </c>
      <c r="R23" s="435">
        <f t="shared" si="3"/>
        <v>6.3876404494382024</v>
      </c>
      <c r="S23" s="435">
        <f t="shared" si="1"/>
        <v>5.8109028960817719</v>
      </c>
      <c r="T23" s="435">
        <f t="shared" si="1"/>
        <v>6.2587155963302745</v>
      </c>
      <c r="U23" s="255"/>
      <c r="V23" s="184"/>
    </row>
    <row r="24" spans="2:23" s="172" customFormat="1" ht="17.25" customHeight="1">
      <c r="B24" s="388" t="s">
        <v>316</v>
      </c>
      <c r="C24" s="422">
        <v>45900</v>
      </c>
      <c r="D24" s="389" t="s">
        <v>317</v>
      </c>
      <c r="E24" s="390">
        <v>21.09</v>
      </c>
      <c r="F24" s="391">
        <v>8242.6</v>
      </c>
      <c r="G24" s="391">
        <v>9831.7999999999993</v>
      </c>
      <c r="H24" s="433">
        <v>846.4</v>
      </c>
      <c r="I24" s="433">
        <v>920.83</v>
      </c>
      <c r="J24" s="433">
        <v>1007.76</v>
      </c>
      <c r="K24" s="435">
        <f t="shared" si="2"/>
        <v>11.616020793950851</v>
      </c>
      <c r="L24" s="435">
        <f t="shared" si="0"/>
        <v>10.677106523462527</v>
      </c>
      <c r="M24" s="435">
        <f t="shared" si="0"/>
        <v>9.7560927204890042</v>
      </c>
      <c r="N24" s="434"/>
      <c r="O24" s="438">
        <v>1.25</v>
      </c>
      <c r="P24" s="438">
        <v>1.33</v>
      </c>
      <c r="Q24" s="438">
        <v>1.47</v>
      </c>
      <c r="R24" s="435">
        <f t="shared" si="3"/>
        <v>16.872</v>
      </c>
      <c r="S24" s="435">
        <f t="shared" si="1"/>
        <v>15.857142857142856</v>
      </c>
      <c r="T24" s="435">
        <f t="shared" si="1"/>
        <v>14.346938775510203</v>
      </c>
      <c r="U24" s="255"/>
      <c r="V24" s="184"/>
    </row>
    <row r="25" spans="2:23" s="172" customFormat="1" ht="17.25" customHeight="1">
      <c r="B25" s="388"/>
      <c r="C25" s="389"/>
      <c r="D25" s="389"/>
      <c r="E25" s="390"/>
      <c r="F25" s="391"/>
      <c r="G25" s="391"/>
      <c r="H25" s="428"/>
      <c r="I25" s="428"/>
      <c r="J25" s="428"/>
      <c r="K25" s="427"/>
      <c r="L25" s="427"/>
      <c r="M25" s="427"/>
      <c r="N25" s="426"/>
      <c r="O25" s="436"/>
      <c r="P25" s="436"/>
      <c r="Q25" s="436"/>
      <c r="R25" s="427"/>
      <c r="S25" s="427"/>
      <c r="T25" s="427"/>
      <c r="U25" s="252"/>
      <c r="V25" s="252"/>
    </row>
    <row r="26" spans="2:23" ht="17.25" customHeight="1">
      <c r="B26"/>
      <c r="C26"/>
      <c r="D26"/>
      <c r="E26"/>
      <c r="F26"/>
      <c r="G26"/>
      <c r="H26" s="428"/>
      <c r="I26" s="428"/>
      <c r="J26" s="428"/>
      <c r="K26" s="427"/>
      <c r="L26" s="427"/>
      <c r="M26" s="427"/>
      <c r="N26" s="426"/>
      <c r="O26" s="436"/>
      <c r="P26" s="436"/>
      <c r="Q26" s="436"/>
      <c r="R26" s="427"/>
      <c r="S26" s="427"/>
      <c r="T26" s="427"/>
    </row>
    <row r="27" spans="2:23" ht="17.25" customHeight="1">
      <c r="B27" s="415" t="s">
        <v>169</v>
      </c>
      <c r="C27" s="416"/>
      <c r="D27" s="416"/>
      <c r="E27" s="416"/>
      <c r="F27" s="416"/>
      <c r="G27" s="409"/>
      <c r="H27" s="430"/>
      <c r="I27" s="430"/>
      <c r="J27" s="430"/>
      <c r="K27" s="365">
        <f>IFERROR(MIN(K$19:K25),"")</f>
        <v>5.9404027949034113</v>
      </c>
      <c r="L27" s="365">
        <f>IFERROR(MIN(L$19:L25),"")</f>
        <v>6.2981523444308865</v>
      </c>
      <c r="M27" s="365">
        <f>IFERROR(MIN(M$19:M25),"")</f>
        <v>6.9452853943814929</v>
      </c>
      <c r="N27" s="363"/>
      <c r="O27" s="364"/>
      <c r="P27" s="364"/>
      <c r="Q27" s="364"/>
      <c r="R27" s="365">
        <f>IFERROR(MIN(R$19:R25),"")</f>
        <v>6.3876404494382024</v>
      </c>
      <c r="S27" s="365">
        <f>IFERROR(MIN(S$19:S25),"")</f>
        <v>5.8109028960817719</v>
      </c>
      <c r="T27" s="365">
        <f>IFERROR(MIN(T$19:T25),"")</f>
        <v>6.2587155963302745</v>
      </c>
      <c r="U27" s="193"/>
      <c r="V27" s="190"/>
    </row>
    <row r="28" spans="2:23" ht="17.25" customHeight="1">
      <c r="B28" s="417" t="s">
        <v>145</v>
      </c>
      <c r="C28" s="418"/>
      <c r="D28" s="418"/>
      <c r="E28" s="418"/>
      <c r="F28" s="418"/>
      <c r="G28" s="410"/>
      <c r="H28" s="426"/>
      <c r="I28" s="426"/>
      <c r="J28" s="426"/>
      <c r="K28" s="366">
        <f>IFERROR(MEDIAN(K19:K25),"")</f>
        <v>14.476448463766111</v>
      </c>
      <c r="L28" s="366">
        <f>IFERROR(MEDIAN(L19:L25),"")</f>
        <v>14.11213254048298</v>
      </c>
      <c r="M28" s="366">
        <f>IFERROR(MEDIAN(M19:M25),"")</f>
        <v>13.301249409718853</v>
      </c>
      <c r="N28" s="369"/>
      <c r="O28" s="369"/>
      <c r="P28" s="369"/>
      <c r="Q28" s="369"/>
      <c r="R28" s="366">
        <f>IFERROR(MEDIAN(R19:R25),"")</f>
        <v>22.728693693693693</v>
      </c>
      <c r="S28" s="366">
        <f>IFERROR(MEDIAN(S19:S25),"")</f>
        <v>21.287084498291396</v>
      </c>
      <c r="T28" s="366">
        <f>IFERROR(MEDIAN(T19:T25),"")</f>
        <v>18.738647959183673</v>
      </c>
      <c r="U28" s="253"/>
      <c r="V28" s="191"/>
    </row>
    <row r="29" spans="2:23" ht="17.25" customHeight="1">
      <c r="B29" s="417" t="s">
        <v>159</v>
      </c>
      <c r="C29" s="418"/>
      <c r="D29" s="418"/>
      <c r="E29" s="418"/>
      <c r="F29" s="418"/>
      <c r="G29" s="410"/>
      <c r="H29" s="429"/>
      <c r="I29" s="429"/>
      <c r="J29" s="429"/>
      <c r="K29" s="366">
        <f>IFERROR(AVERAGE(K19:K25),"")</f>
        <v>14.981334146873159</v>
      </c>
      <c r="L29" s="366">
        <f>IFERROR(AVERAGE(L19:L25),"")</f>
        <v>13.880596394324067</v>
      </c>
      <c r="M29" s="366">
        <f>IFERROR(AVERAGE(M19:M25),"")</f>
        <v>12.950224597675716</v>
      </c>
      <c r="N29" s="370"/>
      <c r="O29" s="367"/>
      <c r="P29" s="367"/>
      <c r="Q29" s="367"/>
      <c r="R29" s="366">
        <f>IFERROR(AVERAGE(R19:R25),"")</f>
        <v>22.254401319469451</v>
      </c>
      <c r="S29" s="366">
        <f>IFERROR(AVERAGE(S19:S25),"")</f>
        <v>19.764183987490366</v>
      </c>
      <c r="T29" s="366">
        <f>IFERROR(AVERAGE(T19:T25),"")</f>
        <v>17.617521287057414</v>
      </c>
      <c r="U29" s="253"/>
      <c r="V29" s="191"/>
    </row>
    <row r="30" spans="2:23" ht="17.25" customHeight="1">
      <c r="B30" s="419" t="s">
        <v>170</v>
      </c>
      <c r="C30" s="442"/>
      <c r="D30" s="442"/>
      <c r="E30" s="442"/>
      <c r="F30" s="442"/>
      <c r="G30" s="443"/>
      <c r="H30" s="444"/>
      <c r="I30" s="444"/>
      <c r="J30" s="444"/>
      <c r="K30" s="368">
        <f>IFERROR(MAX(K19:K24),"")</f>
        <v>22.313103717435848</v>
      </c>
      <c r="L30" s="368">
        <f>IFERROR(MAX(L19:L24),"")</f>
        <v>19.17648930753564</v>
      </c>
      <c r="M30" s="368">
        <f>IFERROR(MAX(M19:M24),"")</f>
        <v>18.330656445823447</v>
      </c>
      <c r="N30" s="371"/>
      <c r="O30" s="371"/>
      <c r="P30" s="371"/>
      <c r="Q30" s="371"/>
      <c r="R30" s="368">
        <f>IFERROR(MAX(R19:R24),"")</f>
        <v>34.615906886517941</v>
      </c>
      <c r="S30" s="368">
        <f>IFERROR(MAX(S19:S24),"")</f>
        <v>28.944849959448497</v>
      </c>
      <c r="T30" s="368">
        <f>IFERROR(MAX(T19:T24),"")</f>
        <v>24.890410958904113</v>
      </c>
      <c r="U30" s="194"/>
      <c r="V30" s="192"/>
    </row>
    <row r="31" spans="2:23" ht="17.25" customHeight="1">
      <c r="B3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spans="2:23" ht="17.25" customHeight="1">
      <c r="B32" s="393" t="s">
        <v>318</v>
      </c>
      <c r="C32" s="392">
        <v>46022</v>
      </c>
      <c r="D32" s="406" t="s">
        <v>224</v>
      </c>
      <c r="E32" s="407">
        <v>212.54</v>
      </c>
      <c r="F32" s="387">
        <v>24513.4</v>
      </c>
      <c r="G32" s="414">
        <v>25240.3</v>
      </c>
      <c r="H32" s="408">
        <v>2261.1400000000008</v>
      </c>
      <c r="I32" s="408">
        <v>2952.22</v>
      </c>
      <c r="J32" s="408">
        <v>2690.27</v>
      </c>
      <c r="K32" s="503">
        <f>$G32/H32</f>
        <v>11.162643622243642</v>
      </c>
      <c r="L32" s="503">
        <f t="shared" ref="L32:M32" si="4">$G32/I32</f>
        <v>8.5495999620624481</v>
      </c>
      <c r="M32" s="503">
        <f t="shared" si="4"/>
        <v>9.3820694577124222</v>
      </c>
      <c r="N32" s="184"/>
      <c r="O32" s="440">
        <v>14.64</v>
      </c>
      <c r="P32" s="440">
        <v>13.02</v>
      </c>
      <c r="Q32" s="440">
        <v>12.63</v>
      </c>
      <c r="R32" s="184">
        <f>$E32/O32</f>
        <v>14.51775956284153</v>
      </c>
      <c r="S32" s="184">
        <f t="shared" ref="S32:T32" si="5">$E32/P32</f>
        <v>16.324116743471581</v>
      </c>
      <c r="T32" s="184">
        <f t="shared" si="5"/>
        <v>16.828186856690419</v>
      </c>
      <c r="U32" s="255"/>
      <c r="V32" s="256"/>
    </row>
    <row r="33" spans="2:15" ht="15.6"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2:15" ht="15.6">
      <c r="B34"/>
      <c r="C34"/>
      <c r="D34"/>
      <c r="E34"/>
      <c r="F34"/>
      <c r="G34" s="423"/>
      <c r="H34"/>
      <c r="I34"/>
      <c r="J34"/>
      <c r="K34"/>
      <c r="L34"/>
      <c r="M34"/>
      <c r="N34"/>
      <c r="O34"/>
    </row>
    <row r="35" spans="2:15" s="169" customFormat="1">
      <c r="B35" s="32" t="s">
        <v>160</v>
      </c>
      <c r="C35" s="170"/>
      <c r="D35" s="170"/>
      <c r="E35" s="170"/>
      <c r="F35" s="170"/>
    </row>
    <row r="36" spans="2:15" ht="15.6"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2:15">
      <c r="B37" s="396"/>
      <c r="C37" s="397"/>
      <c r="D37" s="398" t="s">
        <v>42</v>
      </c>
      <c r="E37" s="399"/>
      <c r="F37" s="400"/>
      <c r="G37" s="399" t="s">
        <v>146</v>
      </c>
      <c r="H37" s="399"/>
      <c r="I37" s="400"/>
      <c r="J37" s="401" t="s">
        <v>167</v>
      </c>
      <c r="K37" s="401"/>
      <c r="L37" s="401"/>
      <c r="M37" s="402" t="s">
        <v>168</v>
      </c>
      <c r="N37" s="401"/>
      <c r="O37" s="403"/>
    </row>
    <row r="38" spans="2:15">
      <c r="B38" s="411" t="s">
        <v>147</v>
      </c>
      <c r="C38" s="411"/>
      <c r="D38" s="394" t="s">
        <v>163</v>
      </c>
      <c r="E38" s="395" t="s">
        <v>148</v>
      </c>
      <c r="F38" s="378" t="s">
        <v>149</v>
      </c>
      <c r="G38" s="394" t="s">
        <v>163</v>
      </c>
      <c r="H38" s="395" t="s">
        <v>148</v>
      </c>
      <c r="I38" s="378" t="s">
        <v>149</v>
      </c>
      <c r="J38" s="394" t="s">
        <v>163</v>
      </c>
      <c r="K38" s="395" t="s">
        <v>148</v>
      </c>
      <c r="L38" s="378" t="s">
        <v>149</v>
      </c>
      <c r="M38" s="394" t="s">
        <v>163</v>
      </c>
      <c r="N38" s="395" t="s">
        <v>148</v>
      </c>
      <c r="O38" s="404" t="s">
        <v>149</v>
      </c>
    </row>
    <row r="39" spans="2:15" ht="15.6">
      <c r="B39" s="124" t="s">
        <v>150</v>
      </c>
      <c r="C39"/>
      <c r="D39" s="465">
        <f>K27</f>
        <v>5.9404027949034113</v>
      </c>
      <c r="E39" s="465">
        <f>K28</f>
        <v>14.476448463766111</v>
      </c>
      <c r="F39" s="465">
        <f>K30</f>
        <v>22.313103717435848</v>
      </c>
      <c r="G39" s="185">
        <f>($H$32*D39)-C11</f>
        <v>12705.182375667904</v>
      </c>
      <c r="H39" s="185">
        <f>($H$32*E39)-D11</f>
        <v>32733.276679360115</v>
      </c>
      <c r="I39" s="185">
        <f>($H$32*F39)-E11</f>
        <v>50453.051339642909</v>
      </c>
      <c r="J39" s="206">
        <f t="shared" ref="J39:L41" si="6">IFERROR(G39/dilutedshares,"")</f>
        <v>113.24701288588916</v>
      </c>
      <c r="K39" s="206">
        <f t="shared" si="6"/>
        <v>291.7664380012489</v>
      </c>
      <c r="L39" s="206">
        <f t="shared" si="6"/>
        <v>449.71077047546936</v>
      </c>
      <c r="M39" s="466">
        <f t="shared" ref="M39:O41" si="7">IFERROR((J39/currentprice)-1,"")</f>
        <v>-0.46717317735066732</v>
      </c>
      <c r="N39" s="466">
        <f t="shared" si="7"/>
        <v>0.37276012986378526</v>
      </c>
      <c r="O39" s="467">
        <f t="shared" si="7"/>
        <v>1.1158876939656976</v>
      </c>
    </row>
    <row r="40" spans="2:15" ht="15.6">
      <c r="B40" s="124" t="s">
        <v>151</v>
      </c>
      <c r="C40"/>
      <c r="D40" s="465">
        <f>L27</f>
        <v>6.2981523444308865</v>
      </c>
      <c r="E40" s="465">
        <f>L28</f>
        <v>14.11213254048298</v>
      </c>
      <c r="F40" s="465">
        <f>L30</f>
        <v>19.17648930753564</v>
      </c>
      <c r="G40" s="185">
        <f>($I$32*D40)-C11</f>
        <v>17866.63131427575</v>
      </c>
      <c r="H40" s="185">
        <f>($I$32*E40)-D11</f>
        <v>41662.119928664659</v>
      </c>
      <c r="I40" s="185">
        <f>($I$32*F40)-E11</f>
        <v>56613.215263492864</v>
      </c>
      <c r="J40" s="206">
        <f t="shared" si="6"/>
        <v>159.25333197500447</v>
      </c>
      <c r="K40" s="206">
        <f t="shared" si="6"/>
        <v>371.35323940337514</v>
      </c>
      <c r="L40" s="206">
        <f t="shared" si="6"/>
        <v>504.61908604592981</v>
      </c>
      <c r="M40" s="466">
        <f t="shared" si="7"/>
        <v>-0.25071359755808564</v>
      </c>
      <c r="N40" s="466">
        <f t="shared" si="7"/>
        <v>0.74721576834184233</v>
      </c>
      <c r="O40" s="467">
        <f t="shared" si="7"/>
        <v>1.3742311378843035</v>
      </c>
    </row>
    <row r="41" spans="2:15">
      <c r="B41" s="405" t="s">
        <v>152</v>
      </c>
      <c r="C41" s="441"/>
      <c r="D41" s="475">
        <f>M27</f>
        <v>6.9452853943814929</v>
      </c>
      <c r="E41" s="475">
        <f>M28</f>
        <v>13.301249409718853</v>
      </c>
      <c r="F41" s="475">
        <f>M30</f>
        <v>18.330656445823447</v>
      </c>
      <c r="G41" s="188">
        <f>(J$32*D41)-C11</f>
        <v>17957.792937942697</v>
      </c>
      <c r="H41" s="188">
        <f>(J$32*E41)-D11</f>
        <v>35783.95224948434</v>
      </c>
      <c r="I41" s="188">
        <f>($J$32*F41)-E11</f>
        <v>49314.415116505443</v>
      </c>
      <c r="J41" s="445">
        <f t="shared" si="6"/>
        <v>160.06589658563774</v>
      </c>
      <c r="K41" s="445">
        <f t="shared" si="6"/>
        <v>318.95848337181872</v>
      </c>
      <c r="L41" s="445">
        <f t="shared" si="6"/>
        <v>439.56159298070634</v>
      </c>
      <c r="M41" s="469">
        <f t="shared" si="7"/>
        <v>-0.24689048374123579</v>
      </c>
      <c r="N41" s="469">
        <f t="shared" si="7"/>
        <v>0.5006986137753775</v>
      </c>
      <c r="O41" s="468">
        <f t="shared" si="7"/>
        <v>1.0681358472791302</v>
      </c>
    </row>
    <row r="42" spans="2:15" ht="15.6">
      <c r="B42"/>
      <c r="C42"/>
    </row>
    <row r="43" spans="2:15">
      <c r="B43" s="396"/>
      <c r="C43" s="397"/>
      <c r="D43" s="398" t="s">
        <v>42</v>
      </c>
      <c r="E43" s="399"/>
      <c r="F43" s="400"/>
      <c r="G43" s="399" t="s">
        <v>146</v>
      </c>
      <c r="H43" s="399"/>
      <c r="I43" s="400"/>
      <c r="J43" s="401" t="s">
        <v>167</v>
      </c>
      <c r="K43" s="401"/>
      <c r="L43" s="401"/>
      <c r="M43" s="402" t="s">
        <v>168</v>
      </c>
      <c r="N43" s="401"/>
      <c r="O43" s="403"/>
    </row>
    <row r="44" spans="2:15">
      <c r="B44" s="411" t="s">
        <v>147</v>
      </c>
      <c r="C44" s="411"/>
      <c r="D44" s="394" t="s">
        <v>163</v>
      </c>
      <c r="E44" s="395" t="s">
        <v>148</v>
      </c>
      <c r="F44" s="378" t="s">
        <v>149</v>
      </c>
      <c r="G44" s="394" t="s">
        <v>163</v>
      </c>
      <c r="H44" s="395" t="s">
        <v>148</v>
      </c>
      <c r="I44" s="378" t="s">
        <v>149</v>
      </c>
      <c r="J44" s="394" t="s">
        <v>163</v>
      </c>
      <c r="K44" s="395" t="s">
        <v>148</v>
      </c>
      <c r="L44" s="378" t="s">
        <v>149</v>
      </c>
      <c r="M44" s="394" t="s">
        <v>163</v>
      </c>
      <c r="N44" s="395" t="s">
        <v>148</v>
      </c>
      <c r="O44" s="404" t="s">
        <v>149</v>
      </c>
    </row>
    <row r="45" spans="2:15" ht="15.6">
      <c r="B45" s="124" t="s">
        <v>153</v>
      </c>
      <c r="C45"/>
      <c r="D45" s="465">
        <f>R27</f>
        <v>6.3876404494382024</v>
      </c>
      <c r="E45" s="465">
        <f>R28</f>
        <v>22.728693693693693</v>
      </c>
      <c r="F45" s="465">
        <f>R30</f>
        <v>34.615906886517941</v>
      </c>
      <c r="G45" s="185">
        <f>IFERROR((O32*D45*dilutedshares),"")</f>
        <v>10491.454152808989</v>
      </c>
      <c r="H45" s="185">
        <f>IFERROR((O32*E45*dilutedshares),"")</f>
        <v>37331.006610054057</v>
      </c>
      <c r="I45" s="185">
        <f>IFERROR((O32*F45*dilutedshares),"")</f>
        <v>56855.297810281278</v>
      </c>
      <c r="J45" s="186">
        <f t="shared" ref="J45:L47" si="8">IFERROR(G45/dilutedshares,"")</f>
        <v>93.515056179775286</v>
      </c>
      <c r="K45" s="186">
        <f t="shared" si="8"/>
        <v>332.74807567567569</v>
      </c>
      <c r="L45" s="186">
        <f t="shared" si="8"/>
        <v>506.77687681862267</v>
      </c>
      <c r="M45" s="466">
        <f t="shared" ref="M45:O47" si="9">IFERROR((J45/currentprice)-1,"")</f>
        <v>-0.56001196866577918</v>
      </c>
      <c r="N45" s="466">
        <f t="shared" si="9"/>
        <v>0.56557860014903416</v>
      </c>
      <c r="O45" s="467">
        <f t="shared" si="9"/>
        <v>1.3843835363631443</v>
      </c>
    </row>
    <row r="46" spans="2:15" ht="15.6">
      <c r="B46" s="124" t="s">
        <v>154</v>
      </c>
      <c r="C46"/>
      <c r="D46" s="465">
        <f>S27</f>
        <v>5.8109028960817719</v>
      </c>
      <c r="E46" s="465">
        <f>S28</f>
        <v>21.287084498291396</v>
      </c>
      <c r="F46" s="465">
        <f>S30</f>
        <v>28.944849959448497</v>
      </c>
      <c r="G46" s="185">
        <f>IFERROR((P32*D46*dilutedshares),"")</f>
        <v>8488.0660507666089</v>
      </c>
      <c r="H46" s="185">
        <f>IFERROR((P32*E46*dilutedshares),"")</f>
        <v>31094.338088420318</v>
      </c>
      <c r="I46" s="185">
        <f>IFERROR((P32*F46*dilutedshares),"")</f>
        <v>42280.141774695861</v>
      </c>
      <c r="J46" s="186">
        <f t="shared" si="8"/>
        <v>75.657955706984666</v>
      </c>
      <c r="K46" s="186">
        <f t="shared" si="8"/>
        <v>277.15784016775399</v>
      </c>
      <c r="L46" s="186">
        <f t="shared" si="8"/>
        <v>376.86194647201944</v>
      </c>
      <c r="M46" s="466">
        <f t="shared" si="9"/>
        <v>-0.64402956757793983</v>
      </c>
      <c r="N46" s="466">
        <f t="shared" si="9"/>
        <v>0.30402672517057505</v>
      </c>
      <c r="O46" s="467">
        <f t="shared" si="9"/>
        <v>0.77313421695689977</v>
      </c>
    </row>
    <row r="47" spans="2:15">
      <c r="B47" s="405" t="s">
        <v>155</v>
      </c>
      <c r="C47" s="441"/>
      <c r="D47" s="475">
        <f>T27</f>
        <v>6.2587155963302745</v>
      </c>
      <c r="E47" s="475">
        <f>T28</f>
        <v>18.738647959183673</v>
      </c>
      <c r="F47" s="475">
        <f>T30</f>
        <v>24.890410958904113</v>
      </c>
      <c r="G47" s="188">
        <f>IFERROR((Q32*D47*dilutedshares),"")</f>
        <v>8868.3477737614667</v>
      </c>
      <c r="H47" s="188">
        <f>IFERROR((Q32*E47*dilutedshares),"")</f>
        <v>26551.908990650511</v>
      </c>
      <c r="I47" s="188">
        <f>IFERROR((Q32*F47*dilutedshares),"")</f>
        <v>35268.709245205486</v>
      </c>
      <c r="J47" s="189">
        <f t="shared" si="8"/>
        <v>79.047577981651372</v>
      </c>
      <c r="K47" s="189">
        <f t="shared" si="8"/>
        <v>236.66912372448979</v>
      </c>
      <c r="L47" s="189">
        <f t="shared" si="8"/>
        <v>314.36589041095897</v>
      </c>
      <c r="M47" s="469">
        <f t="shared" si="9"/>
        <v>-0.62808140593934614</v>
      </c>
      <c r="N47" s="469">
        <f t="shared" si="9"/>
        <v>0.11352744765451117</v>
      </c>
      <c r="O47" s="468">
        <f t="shared" si="9"/>
        <v>0.47909047902022661</v>
      </c>
    </row>
    <row r="48" spans="2:15" ht="15.6"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4:17"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</row>
    <row r="50" spans="4:17"/>
    <row r="52" spans="4:17" hidden="1">
      <c r="F52" s="175"/>
      <c r="G52" s="175"/>
      <c r="H52" s="175"/>
      <c r="I52" s="176"/>
      <c r="J52" s="176"/>
      <c r="K52" s="176"/>
      <c r="L52" s="177"/>
      <c r="M52" s="177"/>
      <c r="N52" s="177"/>
      <c r="O52" s="178"/>
      <c r="P52" s="178"/>
      <c r="Q52" s="178"/>
    </row>
    <row r="53" spans="4:17" hidden="1">
      <c r="F53" s="175"/>
      <c r="G53" s="175"/>
      <c r="H53" s="175"/>
      <c r="I53" s="176"/>
      <c r="J53" s="176"/>
      <c r="K53" s="176"/>
      <c r="L53" s="177"/>
      <c r="M53" s="177"/>
      <c r="N53" s="177"/>
      <c r="O53" s="178"/>
      <c r="P53" s="178"/>
      <c r="Q53" s="178"/>
    </row>
    <row r="54" spans="4:17" hidden="1">
      <c r="F54" s="175"/>
      <c r="G54" s="175"/>
      <c r="H54" s="175"/>
      <c r="I54" s="176"/>
      <c r="J54" s="176"/>
      <c r="K54" s="176"/>
      <c r="L54" s="177"/>
      <c r="M54" s="177"/>
      <c r="N54" s="177"/>
      <c r="O54" s="178"/>
      <c r="P54" s="178"/>
      <c r="Q54" s="178"/>
    </row>
    <row r="55" spans="4:17" hidden="1">
      <c r="F55" s="175"/>
      <c r="G55" s="175"/>
      <c r="H55" s="175"/>
      <c r="I55" s="176"/>
      <c r="J55" s="176"/>
      <c r="K55" s="176"/>
      <c r="L55" s="177"/>
      <c r="M55" s="177"/>
      <c r="N55" s="177"/>
      <c r="O55" s="178"/>
      <c r="P55" s="178"/>
      <c r="Q55" s="178"/>
    </row>
    <row r="56" spans="4:17" hidden="1">
      <c r="F56" s="175"/>
      <c r="G56" s="175"/>
      <c r="H56" s="175"/>
      <c r="I56" s="176"/>
      <c r="J56" s="176"/>
      <c r="K56" s="176"/>
      <c r="L56" s="177"/>
      <c r="M56" s="177"/>
      <c r="N56" s="177"/>
      <c r="O56" s="178"/>
      <c r="P56" s="178"/>
      <c r="Q56" s="178"/>
    </row>
    <row r="57" spans="4:17" hidden="1">
      <c r="F57" s="175"/>
      <c r="G57" s="175"/>
      <c r="H57" s="175"/>
      <c r="I57" s="176"/>
      <c r="J57" s="176"/>
      <c r="K57" s="176"/>
      <c r="L57" s="177"/>
      <c r="M57" s="177"/>
      <c r="N57" s="177"/>
      <c r="O57" s="178"/>
      <c r="P57" s="178"/>
      <c r="Q57" s="178"/>
    </row>
    <row r="58" spans="4:17" hidden="1">
      <c r="F58" s="175"/>
      <c r="G58" s="175"/>
      <c r="H58" s="175"/>
      <c r="I58" s="176"/>
      <c r="J58" s="176"/>
      <c r="K58" s="176"/>
      <c r="L58" s="177"/>
      <c r="M58" s="177"/>
      <c r="N58" s="177"/>
      <c r="O58" s="178"/>
      <c r="P58" s="178"/>
      <c r="Q58" s="178"/>
    </row>
    <row r="59" spans="4:17" hidden="1">
      <c r="F59" s="175"/>
      <c r="G59" s="175"/>
      <c r="H59" s="175"/>
      <c r="I59" s="176"/>
      <c r="J59" s="176"/>
      <c r="K59" s="176"/>
      <c r="L59" s="177"/>
      <c r="M59" s="177"/>
      <c r="N59" s="177"/>
      <c r="O59" s="178"/>
      <c r="P59" s="178"/>
      <c r="Q59" s="178"/>
    </row>
    <row r="60" spans="4:17" hidden="1">
      <c r="F60" s="175"/>
      <c r="G60" s="175"/>
      <c r="H60" s="175"/>
      <c r="I60" s="176"/>
      <c r="J60" s="176"/>
      <c r="K60" s="176"/>
      <c r="L60" s="177"/>
      <c r="M60" s="177"/>
      <c r="N60" s="177"/>
      <c r="O60" s="178"/>
      <c r="P60" s="178"/>
      <c r="Q60" s="178"/>
    </row>
    <row r="61" spans="4:17" hidden="1">
      <c r="D61" s="179"/>
      <c r="E61" s="179"/>
      <c r="F61" s="179"/>
      <c r="G61" s="179"/>
      <c r="H61" s="179"/>
      <c r="I61" s="179"/>
      <c r="J61" s="179"/>
      <c r="K61" s="179"/>
      <c r="L61" s="180"/>
      <c r="M61" s="180"/>
      <c r="N61" s="180"/>
      <c r="O61" s="181"/>
      <c r="P61" s="181"/>
      <c r="Q61" s="181"/>
    </row>
  </sheetData>
  <mergeCells count="2">
    <mergeCell ref="H17:M17"/>
    <mergeCell ref="O17:T17"/>
  </mergeCells>
  <conditionalFormatting sqref="B26:J26 N26:V26">
    <cfRule type="expression" dxfId="6" priority="3">
      <formula>" =MOD(ROW(),2)=1"</formula>
    </cfRule>
    <cfRule type="expression" dxfId="5" priority="4">
      <formula>" MOD(ROW(),2)=1"</formula>
    </cfRule>
  </conditionalFormatting>
  <conditionalFormatting sqref="S5:V5">
    <cfRule type="cellIs" dxfId="4" priority="2" operator="equal">
      <formula>"Check"</formula>
    </cfRule>
  </conditionalFormatting>
  <conditionalFormatting sqref="W19:W25">
    <cfRule type="expression" dxfId="3" priority="1">
      <formula>" =MOD(ROW(),2)=1"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4E16-074C-4EA2-81AD-BCAA7ED73667}">
  <sheetPr codeName="Sheet8">
    <tabColor rgb="FFA4C298"/>
  </sheetPr>
  <dimension ref="A1:W57"/>
  <sheetViews>
    <sheetView showGridLines="0" topLeftCell="A15" zoomScaleNormal="100" workbookViewId="0">
      <selection activeCell="B38" sqref="B38:E44"/>
    </sheetView>
  </sheetViews>
  <sheetFormatPr defaultColWidth="0" defaultRowHeight="0" customHeight="1" zeroHeight="1"/>
  <cols>
    <col min="1" max="1" width="2.5" style="17" customWidth="1"/>
    <col min="2" max="5" width="28.5" style="17" customWidth="1"/>
    <col min="6" max="8" width="22.296875" style="17" customWidth="1"/>
    <col min="9" max="9" width="75.19921875" style="17" customWidth="1"/>
    <col min="10" max="11" width="5" style="17" customWidth="1"/>
    <col min="12" max="20" width="18.296875" style="17" hidden="1" customWidth="1"/>
    <col min="21" max="22" width="8.796875" style="17" hidden="1" customWidth="1"/>
    <col min="23" max="23" width="0" style="17" hidden="1" customWidth="1"/>
    <col min="24" max="16384" width="8.796875" style="17" hidden="1"/>
  </cols>
  <sheetData>
    <row r="1" spans="1:20" s="33" customFormat="1" ht="17.399999999999999">
      <c r="B1" s="32" t="s">
        <v>4</v>
      </c>
      <c r="S1" s="34"/>
      <c r="T1" s="34"/>
    </row>
    <row r="2" spans="1:20" s="33" customFormat="1" ht="17.399999999999999">
      <c r="B2" s="32" t="str">
        <f>company</f>
        <v>lululemon athletica inc.</v>
      </c>
      <c r="S2" s="34"/>
      <c r="T2" s="34"/>
    </row>
    <row r="3" spans="1:20" s="33" customFormat="1" ht="17.399999999999999">
      <c r="B3" s="32" t="s">
        <v>45</v>
      </c>
      <c r="S3" s="34"/>
      <c r="T3" s="34"/>
    </row>
    <row r="4" spans="1:20" s="33" customFormat="1" ht="17.399999999999999">
      <c r="B4" s="32" t="s">
        <v>186</v>
      </c>
      <c r="C4" s="35"/>
      <c r="D4" s="35"/>
      <c r="E4" s="35"/>
      <c r="F4" s="35"/>
      <c r="S4" s="34"/>
      <c r="T4" s="34"/>
    </row>
    <row r="5" spans="1:20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9"/>
    </row>
    <row r="6" spans="1:20" s="169" customFormat="1" ht="13.2">
      <c r="B6" s="32" t="s">
        <v>177</v>
      </c>
      <c r="C6" s="170"/>
      <c r="D6" s="170"/>
      <c r="E6" s="170"/>
      <c r="F6" s="170"/>
    </row>
    <row r="7" spans="1:20" ht="15.75" customHeight="1">
      <c r="A7" s="117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9"/>
    </row>
    <row r="8" spans="1:20" ht="15.6">
      <c r="B8" s="17" t="s">
        <v>166</v>
      </c>
      <c r="C8" s="420">
        <v>212.54</v>
      </c>
      <c r="D8" s="372"/>
      <c r="E8"/>
      <c r="F8"/>
      <c r="G8"/>
      <c r="H8"/>
      <c r="I8"/>
    </row>
    <row r="9" spans="1:20" ht="15.6">
      <c r="B9" s="17" t="s">
        <v>165</v>
      </c>
      <c r="C9" s="460">
        <v>112.19</v>
      </c>
      <c r="D9" s="373"/>
      <c r="E9"/>
      <c r="F9"/>
      <c r="G9"/>
      <c r="H9"/>
      <c r="I9"/>
    </row>
    <row r="10" spans="1:20" ht="15.6">
      <c r="B10" s="17" t="s">
        <v>137</v>
      </c>
      <c r="C10" s="460">
        <v>1762.8</v>
      </c>
      <c r="D10" s="372"/>
      <c r="E10"/>
      <c r="F10"/>
      <c r="G10"/>
      <c r="H10"/>
      <c r="I10"/>
    </row>
    <row r="11" spans="1:20" ht="15.6">
      <c r="B11"/>
      <c r="C11"/>
      <c r="D11" s="375"/>
      <c r="E11"/>
      <c r="F11"/>
      <c r="G11"/>
      <c r="H11"/>
      <c r="I11"/>
    </row>
    <row r="12" spans="1:20" ht="15.6">
      <c r="B12" s="17" t="s">
        <v>178</v>
      </c>
      <c r="C12" s="421">
        <v>11073.3</v>
      </c>
      <c r="D12" s="375"/>
      <c r="E12"/>
      <c r="F12"/>
      <c r="G12"/>
      <c r="H12"/>
      <c r="I12"/>
    </row>
    <row r="13" spans="1:20" ht="15.6">
      <c r="B13" s="17" t="s">
        <v>174</v>
      </c>
      <c r="C13" s="421">
        <v>2935.8</v>
      </c>
      <c r="D13" s="375"/>
      <c r="E13"/>
      <c r="F13"/>
      <c r="G13"/>
      <c r="H13"/>
      <c r="I13"/>
    </row>
    <row r="14" spans="1:20" ht="15.6">
      <c r="B14" s="17" t="s">
        <v>175</v>
      </c>
      <c r="C14" s="421">
        <v>1740.7</v>
      </c>
      <c r="D14" s="375"/>
      <c r="E14"/>
      <c r="F14"/>
      <c r="G14"/>
      <c r="H14"/>
      <c r="I14"/>
    </row>
    <row r="15" spans="1:20" ht="15.6">
      <c r="B15" s="17" t="s">
        <v>179</v>
      </c>
      <c r="C15" s="421">
        <v>14.5</v>
      </c>
      <c r="D15" s="375"/>
      <c r="E15"/>
      <c r="F15"/>
      <c r="G15"/>
      <c r="H15"/>
      <c r="I15"/>
    </row>
    <row r="16" spans="1:20" ht="15.6">
      <c r="B16"/>
      <c r="C16"/>
      <c r="D16" s="375"/>
      <c r="E16"/>
      <c r="F16"/>
      <c r="G16"/>
      <c r="H16"/>
      <c r="I16"/>
    </row>
    <row r="17" spans="2:12" ht="15.6">
      <c r="B17"/>
      <c r="C17"/>
      <c r="D17" s="375"/>
      <c r="E17"/>
      <c r="F17"/>
      <c r="G17"/>
      <c r="H17"/>
      <c r="I17"/>
    </row>
    <row r="18" spans="2:12" s="169" customFormat="1" ht="13.2">
      <c r="B18" s="32" t="s">
        <v>172</v>
      </c>
      <c r="C18" s="170"/>
      <c r="D18" s="170"/>
      <c r="E18" s="170"/>
      <c r="F18" s="170"/>
    </row>
    <row r="19" spans="2:12" ht="15.6">
      <c r="B19"/>
      <c r="C19"/>
      <c r="D19"/>
      <c r="E19"/>
      <c r="F19"/>
      <c r="G19"/>
      <c r="H19"/>
      <c r="I19"/>
    </row>
    <row r="20" spans="2:12" s="172" customFormat="1" ht="17.25" customHeight="1">
      <c r="B20" s="413" t="s">
        <v>140</v>
      </c>
      <c r="F20" s="449" t="s">
        <v>180</v>
      </c>
      <c r="G20" s="450"/>
      <c r="H20" s="450"/>
    </row>
    <row r="21" spans="2:12" s="174" customFormat="1" ht="17.25" customHeight="1" thickBot="1">
      <c r="B21" s="412" t="s">
        <v>171</v>
      </c>
      <c r="C21" s="412" t="s">
        <v>156</v>
      </c>
      <c r="D21" s="377" t="s">
        <v>173</v>
      </c>
      <c r="E21" s="377" t="s">
        <v>176</v>
      </c>
      <c r="F21" s="451" t="s">
        <v>181</v>
      </c>
      <c r="G21" s="451" t="s">
        <v>182</v>
      </c>
      <c r="H21" s="451" t="s">
        <v>183</v>
      </c>
      <c r="I21" s="451" t="s">
        <v>204</v>
      </c>
      <c r="J21" s="203"/>
      <c r="K21" s="172"/>
      <c r="L21" s="172"/>
    </row>
    <row r="22" spans="2:12" s="172" customFormat="1" ht="17.25" customHeight="1">
      <c r="B22" s="462" t="s">
        <v>429</v>
      </c>
      <c r="C22" s="454" t="s">
        <v>431</v>
      </c>
      <c r="D22" s="453">
        <v>45882</v>
      </c>
      <c r="E22" s="437">
        <v>4745.3500000000004</v>
      </c>
      <c r="F22" s="452">
        <v>1.3436827500283159</v>
      </c>
      <c r="G22" s="452">
        <v>9.3338906372934716</v>
      </c>
      <c r="H22" s="452">
        <v>6.4516129032258061</v>
      </c>
      <c r="I22" s="452" t="s">
        <v>432</v>
      </c>
      <c r="J22" s="204"/>
    </row>
    <row r="23" spans="2:12" s="172" customFormat="1" ht="17.25" customHeight="1">
      <c r="B23" s="463" t="s">
        <v>433</v>
      </c>
      <c r="C23" s="463" t="s">
        <v>316</v>
      </c>
      <c r="D23" s="461">
        <v>45797</v>
      </c>
      <c r="E23" s="439">
        <v>280.25</v>
      </c>
      <c r="F23" s="452">
        <v>4.2530427656539291E-2</v>
      </c>
      <c r="G23" s="452">
        <v>0.29250600146122535</v>
      </c>
      <c r="H23" s="452"/>
      <c r="I23" s="452" t="s">
        <v>434</v>
      </c>
      <c r="J23" s="204"/>
    </row>
    <row r="24" spans="2:12" s="172" customFormat="1" ht="17.25" customHeight="1">
      <c r="B24" s="463" t="s">
        <v>435</v>
      </c>
      <c r="C24" s="463" t="s">
        <v>318</v>
      </c>
      <c r="D24" s="461">
        <v>41858</v>
      </c>
      <c r="E24" s="439">
        <v>845</v>
      </c>
      <c r="F24" s="452">
        <v>0.47017582906743821</v>
      </c>
      <c r="G24" s="452">
        <v>1.9742990654205608</v>
      </c>
      <c r="H24" s="452">
        <v>25.325301204819279</v>
      </c>
      <c r="I24" s="452" t="s">
        <v>436</v>
      </c>
      <c r="J24" s="204"/>
    </row>
    <row r="25" spans="2:12" s="172" customFormat="1" ht="17.25" customHeight="1">
      <c r="B25" s="463" t="s">
        <v>437</v>
      </c>
      <c r="C25" s="463" t="s">
        <v>438</v>
      </c>
      <c r="D25" s="461">
        <v>43137</v>
      </c>
      <c r="E25" s="439">
        <v>486.21</v>
      </c>
      <c r="F25" s="452">
        <v>0.55207221528329731</v>
      </c>
      <c r="G25" s="452">
        <v>10.366950959488273</v>
      </c>
      <c r="H25" s="452">
        <v>8.3586626139817621</v>
      </c>
      <c r="I25" s="452" t="s">
        <v>439</v>
      </c>
      <c r="J25" s="204"/>
    </row>
    <row r="26" spans="2:12" s="172" customFormat="1" ht="17.25" customHeight="1">
      <c r="B26" s="463" t="s">
        <v>440</v>
      </c>
      <c r="C26" s="463" t="s">
        <v>441</v>
      </c>
      <c r="D26" s="461">
        <v>45679</v>
      </c>
      <c r="E26" s="439">
        <v>169.85</v>
      </c>
      <c r="F26" s="452">
        <v>0.57870528109028962</v>
      </c>
      <c r="G26" s="452">
        <v>15.165178571428571</v>
      </c>
      <c r="H26" s="452"/>
      <c r="I26" s="452" t="s">
        <v>442</v>
      </c>
      <c r="J26" s="204"/>
    </row>
    <row r="27" spans="2:12" s="172" customFormat="1" ht="17.25" customHeight="1">
      <c r="B27" s="463" t="s">
        <v>443</v>
      </c>
      <c r="C27" s="463" t="s">
        <v>444</v>
      </c>
      <c r="D27" s="461">
        <v>40900</v>
      </c>
      <c r="E27" s="439">
        <v>3.03</v>
      </c>
      <c r="F27" s="452">
        <v>3.1464174454828658E-2</v>
      </c>
      <c r="G27" s="452">
        <v>0.91818181818181821</v>
      </c>
      <c r="H27" s="452">
        <v>16.666666666666664</v>
      </c>
      <c r="I27" s="452" t="s">
        <v>445</v>
      </c>
      <c r="J27" s="204"/>
    </row>
    <row r="28" spans="2:12" s="172" customFormat="1" ht="17.25" customHeight="1">
      <c r="B28" s="388"/>
      <c r="C28" s="389"/>
      <c r="D28" s="390"/>
      <c r="E28" s="391"/>
      <c r="F28" s="391"/>
      <c r="G28" s="391"/>
      <c r="H28" s="391"/>
      <c r="I28" s="391"/>
      <c r="J28" s="205"/>
    </row>
    <row r="29" spans="2:12" ht="17.25" customHeight="1">
      <c r="B29"/>
      <c r="C29"/>
      <c r="D29"/>
      <c r="E29"/>
      <c r="F29"/>
      <c r="G29"/>
      <c r="H29"/>
      <c r="I29"/>
    </row>
    <row r="30" spans="2:12" ht="17.25" customHeight="1">
      <c r="B30" s="415" t="s">
        <v>169</v>
      </c>
      <c r="C30" s="416"/>
      <c r="D30" s="416"/>
      <c r="E30" s="416"/>
      <c r="F30" s="193">
        <f>IFERROR(MIN(F22:F27), " ")</f>
        <v>3.1464174454828658E-2</v>
      </c>
      <c r="G30" s="193">
        <f t="shared" ref="G30:H30" si="0">IFERROR(MIN(G22:G27), " ")</f>
        <v>0.29250600146122535</v>
      </c>
      <c r="H30" s="190">
        <f t="shared" si="0"/>
        <v>6.4516129032258061</v>
      </c>
      <c r="I30"/>
    </row>
    <row r="31" spans="2:12" ht="17.25" customHeight="1">
      <c r="B31" s="417" t="s">
        <v>145</v>
      </c>
      <c r="C31" s="418"/>
      <c r="D31" s="418"/>
      <c r="E31" s="418"/>
      <c r="F31" s="253">
        <f>IFERROR(MEDIAN(F$22:F$27), " ")</f>
        <v>0.51112402217536779</v>
      </c>
      <c r="G31" s="253">
        <f t="shared" ref="G31:H31" si="1">IFERROR(MEDIAN(G$22:G$27), " ")</f>
        <v>5.6540948513570157</v>
      </c>
      <c r="H31" s="191">
        <f t="shared" si="1"/>
        <v>12.512664640324214</v>
      </c>
      <c r="I31"/>
    </row>
    <row r="32" spans="2:12" ht="17.25" customHeight="1">
      <c r="B32" s="417" t="s">
        <v>159</v>
      </c>
      <c r="C32" s="418"/>
      <c r="D32" s="418"/>
      <c r="E32" s="418"/>
      <c r="F32" s="253">
        <f>IFERROR(AVERAGE(F$22:F$27), " ")</f>
        <v>0.50310511293011817</v>
      </c>
      <c r="G32" s="253">
        <f t="shared" ref="G32:H32" si="2">IFERROR(AVERAGE(G$22:G$27), " ")</f>
        <v>6.3418345088789865</v>
      </c>
      <c r="H32" s="191">
        <f t="shared" si="2"/>
        <v>14.200560847173378</v>
      </c>
      <c r="I32"/>
    </row>
    <row r="33" spans="2:12" ht="17.25" customHeight="1">
      <c r="B33" s="419" t="s">
        <v>170</v>
      </c>
      <c r="C33" s="442"/>
      <c r="D33" s="442"/>
      <c r="E33" s="442"/>
      <c r="F33" s="471">
        <f>IFERROR(MAX(F$22:F$27), " ")</f>
        <v>1.3436827500283159</v>
      </c>
      <c r="G33" s="471">
        <f t="shared" ref="G33:H33" si="3">IFERROR(MAX(G$22:G$27), " ")</f>
        <v>15.165178571428571</v>
      </c>
      <c r="H33" s="192">
        <f t="shared" si="3"/>
        <v>25.325301204819279</v>
      </c>
      <c r="I33"/>
    </row>
    <row r="34" spans="2:12" ht="17.25" customHeight="1">
      <c r="B34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 ht="15.6">
      <c r="B35"/>
      <c r="C35"/>
      <c r="D35"/>
      <c r="E35"/>
      <c r="F35"/>
      <c r="G35"/>
      <c r="H35"/>
      <c r="I35"/>
    </row>
    <row r="36" spans="2:12" s="169" customFormat="1" ht="13.2">
      <c r="B36" s="32" t="s">
        <v>184</v>
      </c>
      <c r="C36" s="170"/>
      <c r="D36" s="170"/>
      <c r="E36" s="170"/>
      <c r="F36" s="170"/>
    </row>
    <row r="37" spans="2:12" ht="15.6">
      <c r="B37" s="39"/>
      <c r="C37" s="455"/>
      <c r="D37" s="455"/>
      <c r="E37" s="455"/>
      <c r="F37" s="455"/>
      <c r="G37"/>
      <c r="H37"/>
      <c r="I37"/>
    </row>
    <row r="38" spans="2:12" ht="15.6">
      <c r="B38" s="39"/>
      <c r="C38" s="449" t="s">
        <v>180</v>
      </c>
      <c r="D38" s="450"/>
      <c r="E38" s="450"/>
      <c r="F38" s="455"/>
      <c r="G38"/>
      <c r="H38"/>
      <c r="I38"/>
    </row>
    <row r="39" spans="2:12" ht="16.8">
      <c r="B39" s="39"/>
      <c r="C39" s="458" t="s">
        <v>181</v>
      </c>
      <c r="D39" s="458" t="s">
        <v>182</v>
      </c>
      <c r="E39" s="458" t="s">
        <v>183</v>
      </c>
      <c r="F39" s="455"/>
      <c r="G39"/>
      <c r="H39"/>
      <c r="I39"/>
    </row>
    <row r="40" spans="2:12" ht="15.6">
      <c r="B40" s="118" t="s">
        <v>176</v>
      </c>
      <c r="C40" s="472">
        <f>$F$31*$C$12</f>
        <v>5659.8296347545001</v>
      </c>
      <c r="D40" s="472">
        <f>$G$31*$C$13</f>
        <v>16599.291664613927</v>
      </c>
      <c r="E40" s="472">
        <f>$H$31*$C$15*$C$9</f>
        <v>20355.039766970614</v>
      </c>
      <c r="F40" s="457"/>
      <c r="G40"/>
      <c r="H40"/>
      <c r="I40"/>
    </row>
    <row r="41" spans="2:12" ht="15.6">
      <c r="B41" s="158" t="s">
        <v>185</v>
      </c>
      <c r="C41" s="472">
        <f>-$C$10</f>
        <v>-1762.8</v>
      </c>
      <c r="D41" s="472">
        <f>-$C$10</f>
        <v>-1762.8</v>
      </c>
      <c r="E41" s="472">
        <f>0</f>
        <v>0</v>
      </c>
      <c r="F41" s="457"/>
      <c r="G41"/>
      <c r="H41"/>
      <c r="I41"/>
    </row>
    <row r="42" spans="2:12" ht="15.6">
      <c r="B42" s="459" t="s">
        <v>446</v>
      </c>
      <c r="C42" s="473">
        <f>SUM(C40:C41)</f>
        <v>3897.0296347545</v>
      </c>
      <c r="D42" s="473">
        <f t="shared" ref="D42:E42" si="4">SUM(D40:D41)</f>
        <v>14836.491664613928</v>
      </c>
      <c r="E42" s="474">
        <f t="shared" si="4"/>
        <v>20355.039766970614</v>
      </c>
      <c r="F42" s="457"/>
      <c r="G42"/>
      <c r="H42"/>
      <c r="I42"/>
    </row>
    <row r="43" spans="2:12" ht="15.6">
      <c r="B43" s="40" t="s">
        <v>414</v>
      </c>
      <c r="C43" s="448">
        <f>C42/C9</f>
        <v>34.735980343653623</v>
      </c>
      <c r="D43" s="448">
        <f>D42/C9</f>
        <v>132.24433251282582</v>
      </c>
      <c r="E43" s="448">
        <f>E42/C9</f>
        <v>181.43363728470109</v>
      </c>
      <c r="F43" s="456"/>
      <c r="G43"/>
      <c r="H43"/>
      <c r="I43"/>
    </row>
    <row r="44" spans="2:12" ht="15.6">
      <c r="B44" s="40" t="s">
        <v>447</v>
      </c>
      <c r="C44" s="446">
        <f>C43/C8-1</f>
        <v>-0.8365673268859809</v>
      </c>
      <c r="D44" s="446">
        <f>D43/C8-1</f>
        <v>-0.3777908510735587</v>
      </c>
      <c r="E44" s="446">
        <f>E43/C8-1</f>
        <v>-0.14635533412674739</v>
      </c>
      <c r="F44" s="456"/>
      <c r="G44"/>
      <c r="H44"/>
      <c r="I44"/>
    </row>
    <row r="45" spans="2:12" ht="15.6">
      <c r="B45" s="40"/>
      <c r="C45" s="456"/>
      <c r="D45" s="456"/>
      <c r="E45" s="456"/>
      <c r="F45" s="456"/>
      <c r="G45"/>
      <c r="H45"/>
      <c r="I45"/>
    </row>
    <row r="46" spans="2:12" ht="15.6">
      <c r="B46" s="470"/>
      <c r="C46" s="456"/>
      <c r="D46" s="456"/>
      <c r="E46" s="456"/>
      <c r="F46" s="456"/>
      <c r="G46"/>
      <c r="H46"/>
      <c r="I46"/>
    </row>
    <row r="47" spans="2:12" ht="15.6">
      <c r="B47" s="39"/>
      <c r="C47" s="455"/>
      <c r="D47" s="455"/>
      <c r="E47" s="455"/>
      <c r="F47" s="455"/>
      <c r="G47"/>
      <c r="H47"/>
      <c r="I47"/>
    </row>
    <row r="48" spans="2:12" ht="15.6" hidden="1">
      <c r="B48" s="39"/>
      <c r="C48" s="455"/>
      <c r="D48" s="455"/>
      <c r="E48" s="455"/>
      <c r="F48" s="455"/>
      <c r="G48"/>
      <c r="H48"/>
      <c r="I48"/>
    </row>
    <row r="49" spans="2:9" ht="15.6" hidden="1">
      <c r="B49" s="39"/>
      <c r="C49" s="455"/>
      <c r="D49" s="455"/>
      <c r="E49" s="455"/>
      <c r="F49" s="455"/>
      <c r="G49"/>
      <c r="H49"/>
      <c r="I49"/>
    </row>
    <row r="50" spans="2:9" ht="15.6" hidden="1">
      <c r="B50" s="39"/>
      <c r="C50" s="455"/>
      <c r="D50" s="455"/>
      <c r="E50" s="455"/>
      <c r="F50" s="455"/>
      <c r="G50"/>
      <c r="H50"/>
      <c r="I50"/>
    </row>
    <row r="51" spans="2:9" ht="15.6" hidden="1">
      <c r="B51" s="39"/>
      <c r="C51" s="455"/>
      <c r="D51" s="455"/>
      <c r="E51" s="455"/>
      <c r="F51" s="455"/>
      <c r="G51"/>
      <c r="H51"/>
      <c r="I51"/>
    </row>
    <row r="52" spans="2:9" ht="13.2" hidden="1">
      <c r="B52" s="39"/>
      <c r="C52" s="455"/>
      <c r="D52" s="455"/>
      <c r="E52" s="455"/>
      <c r="F52" s="455"/>
    </row>
    <row r="53" spans="2:9" ht="13.2" hidden="1">
      <c r="B53" s="39"/>
      <c r="C53" s="455"/>
      <c r="D53" s="455"/>
      <c r="E53" s="455"/>
      <c r="F53" s="455"/>
    </row>
    <row r="54" spans="2:9" ht="13.2" hidden="1">
      <c r="B54" s="39"/>
      <c r="C54" s="455"/>
      <c r="D54" s="455"/>
      <c r="E54" s="455"/>
      <c r="F54" s="455"/>
    </row>
    <row r="55" spans="2:9" ht="13.2" hidden="1">
      <c r="B55" s="39"/>
      <c r="C55" s="455"/>
      <c r="D55" s="455"/>
      <c r="E55" s="455"/>
      <c r="F55" s="455"/>
    </row>
    <row r="56" spans="2:9" ht="13.2" hidden="1">
      <c r="B56" s="39"/>
      <c r="C56" s="455"/>
      <c r="D56" s="455"/>
      <c r="E56" s="455"/>
      <c r="F56" s="455"/>
    </row>
    <row r="57" spans="2:9" ht="13.2" hidden="1">
      <c r="B57" s="39"/>
      <c r="C57" s="455"/>
      <c r="D57" s="455"/>
      <c r="E57" s="455"/>
      <c r="F57" s="455"/>
    </row>
  </sheetData>
  <conditionalFormatting sqref="B29:J29">
    <cfRule type="expression" dxfId="2" priority="3">
      <formula>" =MOD(ROW(),2)=1"</formula>
    </cfRule>
    <cfRule type="expression" dxfId="1" priority="4">
      <formula>" MOD(ROW(),2)=1"</formula>
    </cfRule>
  </conditionalFormatting>
  <conditionalFormatting sqref="T5 T7">
    <cfRule type="cellIs" dxfId="0" priority="2" operator="equal">
      <formula>"Check"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7F34C5B709A74B97556DA524ACAD1F" ma:contentTypeVersion="5" ma:contentTypeDescription="Create a new document." ma:contentTypeScope="" ma:versionID="87bf1e537a59d539096a63c4c6cbe0b8">
  <xsd:schema xmlns:xsd="http://www.w3.org/2001/XMLSchema" xmlns:xs="http://www.w3.org/2001/XMLSchema" xmlns:p="http://schemas.microsoft.com/office/2006/metadata/properties" xmlns:ns3="e552950f-1db5-41f1-85e9-3b72b4924c06" targetNamespace="http://schemas.microsoft.com/office/2006/metadata/properties" ma:root="true" ma:fieldsID="96f40da5e33a1beae6c70a7cb0e09b5e" ns3:_="">
    <xsd:import namespace="e552950f-1db5-41f1-85e9-3b72b4924c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2950f-1db5-41f1-85e9-3b72b4924c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52950f-1db5-41f1-85e9-3b72b4924c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E32984-E7EE-4CA9-A11E-BBC47C589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52950f-1db5-41f1-85e9-3b72b4924c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261EC4-1368-4CED-BB40-9870CE72FFA1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e552950f-1db5-41f1-85e9-3b72b4924c06"/>
  </ds:schemaRefs>
</ds:datastoreItem>
</file>

<file path=customXml/itemProps3.xml><?xml version="1.0" encoding="utf-8"?>
<ds:datastoreItem xmlns:ds="http://schemas.openxmlformats.org/officeDocument/2006/customXml" ds:itemID="{E8A56191-06C5-4FBF-894B-4500EEF9B2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Cover</vt:lpstr>
      <vt:lpstr>Instructions</vt:lpstr>
      <vt:lpstr>Financial Statements</vt:lpstr>
      <vt:lpstr>Supporting Schedules</vt:lpstr>
      <vt:lpstr>Revenue Build Schedule</vt:lpstr>
      <vt:lpstr>DCF Valuation</vt:lpstr>
      <vt:lpstr>Comparables</vt:lpstr>
      <vt:lpstr>Precedents</vt:lpstr>
      <vt:lpstr>beta</vt:lpstr>
      <vt:lpstr>company</vt:lpstr>
      <vt:lpstr>costofdebt</vt:lpstr>
      <vt:lpstr>currentprice</vt:lpstr>
      <vt:lpstr>Comparables!dilutedshares</vt:lpstr>
      <vt:lpstr>Comparables!equityvalue</vt:lpstr>
      <vt:lpstr>Comparables!ev</vt:lpstr>
      <vt:lpstr>mrp</vt:lpstr>
      <vt:lpstr>Comparables!netdebt</vt:lpstr>
      <vt:lpstr>rd</vt:lpstr>
      <vt:lpstr>re</vt:lpstr>
      <vt:lpstr>rf</vt:lpstr>
      <vt:lpstr>rm</vt:lpstr>
      <vt:lpstr>taxrate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aryanjw@student.ubc.ca</dc:creator>
  <cp:lastModifiedBy>mwcr2007@student.ubc.ca</cp:lastModifiedBy>
  <dcterms:created xsi:type="dcterms:W3CDTF">2025-12-01T04:57:30Z</dcterms:created>
  <dcterms:modified xsi:type="dcterms:W3CDTF">2026-01-01T07:54:16Z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0x010100997F34C5B709A74B97556DA524ACAD1F</vt:lpwstr>
  </property>
</Properties>
</file>