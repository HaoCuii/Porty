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t/Downloads/"/>
    </mc:Choice>
  </mc:AlternateContent>
  <xr:revisionPtr revIDLastSave="0" documentId="13_ncr:1_{D57E1CC7-EF32-A748-9ECB-C03E204EC45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10Y" sheetId="1" r:id="rId1"/>
    <sheet name="5Y" sheetId="2" r:id="rId2"/>
  </sheets>
  <definedNames>
    <definedName name="_ITEM1">#REF!</definedName>
    <definedName name="_ITEM2">#REF!</definedName>
    <definedName name="_ITEM3">#REF!</definedName>
    <definedName name="_ITEM4">#REF!</definedName>
    <definedName name="_ITEM5">#REF!</definedName>
    <definedName name="_ITEM6">#REF!</definedName>
    <definedName name="EV" localSheetId="0">#REF!</definedName>
    <definedName name="EV">#REF!</definedName>
    <definedName name="Type">#REF!</definedName>
    <definedName name="WACC" localSheetId="0">#REF!</definedName>
    <definedName name="WACC">#REF!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29" i="1" s="1"/>
  <c r="G47" i="1"/>
  <c r="G31" i="1"/>
  <c r="G42" i="1"/>
  <c r="G39" i="1"/>
  <c r="G38" i="1"/>
  <c r="J41" i="1" s="1"/>
  <c r="Q8" i="1"/>
  <c r="G43" i="1"/>
  <c r="G41" i="1"/>
  <c r="M32" i="1"/>
  <c r="N32" i="1" s="1"/>
  <c r="O32" i="1" s="1"/>
  <c r="P32" i="1" s="1"/>
  <c r="N38" i="1"/>
  <c r="O38" i="1" s="1"/>
  <c r="M38" i="1"/>
  <c r="L38" i="1"/>
  <c r="K38" i="1" s="1"/>
  <c r="C48" i="2"/>
  <c r="G43" i="2"/>
  <c r="G41" i="2"/>
  <c r="G42" i="2" s="1"/>
  <c r="G39" i="2"/>
  <c r="M38" i="2"/>
  <c r="N38" i="2" s="1"/>
  <c r="O38" i="2" s="1"/>
  <c r="L38" i="2"/>
  <c r="K38" i="2" s="1"/>
  <c r="I32" i="2"/>
  <c r="J32" i="2" s="1"/>
  <c r="K32" i="2" s="1"/>
  <c r="H32" i="2"/>
  <c r="F29" i="2"/>
  <c r="E29" i="2"/>
  <c r="D29" i="2"/>
  <c r="F28" i="2"/>
  <c r="E28" i="2"/>
  <c r="D28" i="2"/>
  <c r="C28" i="2"/>
  <c r="H27" i="2"/>
  <c r="H29" i="2" s="1"/>
  <c r="F26" i="2"/>
  <c r="E26" i="2"/>
  <c r="D26" i="2"/>
  <c r="C26" i="2"/>
  <c r="F24" i="2"/>
  <c r="G24" i="2" s="1"/>
  <c r="E24" i="2"/>
  <c r="D24" i="2"/>
  <c r="C24" i="2"/>
  <c r="F19" i="2"/>
  <c r="F21" i="2" s="1"/>
  <c r="L17" i="2"/>
  <c r="F17" i="2"/>
  <c r="F18" i="2" s="1"/>
  <c r="E17" i="2"/>
  <c r="E19" i="2" s="1"/>
  <c r="D17" i="2"/>
  <c r="D19" i="2" s="1"/>
  <c r="C17" i="2"/>
  <c r="C19" i="2" s="1"/>
  <c r="F16" i="2"/>
  <c r="E16" i="2"/>
  <c r="D16" i="2"/>
  <c r="C16" i="2"/>
  <c r="G15" i="2"/>
  <c r="E13" i="2"/>
  <c r="E14" i="2" s="1"/>
  <c r="D13" i="2"/>
  <c r="D14" i="2" s="1"/>
  <c r="C13" i="2"/>
  <c r="G12" i="2"/>
  <c r="G13" i="2" s="1"/>
  <c r="F12" i="2"/>
  <c r="F13" i="2" s="1"/>
  <c r="F14" i="2" s="1"/>
  <c r="E12" i="2"/>
  <c r="D12" i="2"/>
  <c r="C12" i="2"/>
  <c r="F11" i="2"/>
  <c r="E11" i="2"/>
  <c r="D11" i="2"/>
  <c r="C11" i="2"/>
  <c r="G10" i="2"/>
  <c r="G17" i="2" s="1"/>
  <c r="F9" i="2"/>
  <c r="E9" i="2"/>
  <c r="D9" i="2"/>
  <c r="L8" i="2"/>
  <c r="H8" i="2"/>
  <c r="H25" i="2" s="1"/>
  <c r="G8" i="2"/>
  <c r="G27" i="2" s="1"/>
  <c r="G29" i="2" s="1"/>
  <c r="J7" i="2"/>
  <c r="K7" i="2" s="1"/>
  <c r="I7" i="2"/>
  <c r="H7" i="2"/>
  <c r="C48" i="1"/>
  <c r="C11" i="1"/>
  <c r="C12" i="1"/>
  <c r="C13" i="1" s="1"/>
  <c r="F28" i="1"/>
  <c r="D29" i="1"/>
  <c r="D17" i="1"/>
  <c r="D19" i="1" s="1"/>
  <c r="D21" i="1" s="1"/>
  <c r="E17" i="1"/>
  <c r="E19" i="1" s="1"/>
  <c r="E21" i="1" s="1"/>
  <c r="F17" i="1"/>
  <c r="F19" i="1" s="1"/>
  <c r="F21" i="1" s="1"/>
  <c r="C17" i="1"/>
  <c r="C19" i="1" s="1"/>
  <c r="C21" i="1" s="1"/>
  <c r="D12" i="1"/>
  <c r="D13" i="1" s="1"/>
  <c r="E12" i="1"/>
  <c r="E13" i="1" s="1"/>
  <c r="F12" i="1"/>
  <c r="F13" i="1" s="1"/>
  <c r="E29" i="1"/>
  <c r="H7" i="1"/>
  <c r="I7" i="1" s="1"/>
  <c r="J7" i="1" s="1"/>
  <c r="K7" i="1" s="1"/>
  <c r="H32" i="1"/>
  <c r="I32" i="1" s="1"/>
  <c r="J32" i="1" s="1"/>
  <c r="K32" i="1" s="1"/>
  <c r="E28" i="1"/>
  <c r="D28" i="1"/>
  <c r="F26" i="1"/>
  <c r="E26" i="1"/>
  <c r="D26" i="1"/>
  <c r="C26" i="1"/>
  <c r="F24" i="1"/>
  <c r="E24" i="1"/>
  <c r="D24" i="1"/>
  <c r="C24" i="1"/>
  <c r="F16" i="1"/>
  <c r="E16" i="1"/>
  <c r="D16" i="1"/>
  <c r="C16" i="1"/>
  <c r="F11" i="1"/>
  <c r="E11" i="1"/>
  <c r="D11" i="1"/>
  <c r="F9" i="1"/>
  <c r="E9" i="1"/>
  <c r="D9" i="1"/>
  <c r="G8" i="1"/>
  <c r="G25" i="1" s="1"/>
  <c r="J40" i="1" l="1"/>
  <c r="J39" i="1" s="1"/>
  <c r="J42" i="1"/>
  <c r="J43" i="1" s="1"/>
  <c r="C42" i="1"/>
  <c r="O31" i="1"/>
  <c r="O33" i="1" s="1"/>
  <c r="N31" i="1"/>
  <c r="N33" i="1" s="1"/>
  <c r="M31" i="1"/>
  <c r="M33" i="1" s="1"/>
  <c r="L31" i="1"/>
  <c r="L33" i="1" s="1"/>
  <c r="P31" i="1"/>
  <c r="P33" i="1" s="1"/>
  <c r="D21" i="2"/>
  <c r="D22" i="2" s="1"/>
  <c r="D30" i="2" s="1"/>
  <c r="D20" i="2"/>
  <c r="G23" i="2"/>
  <c r="H24" i="2"/>
  <c r="I24" i="2" s="1"/>
  <c r="J24" i="2" s="1"/>
  <c r="K24" i="2" s="1"/>
  <c r="G18" i="2"/>
  <c r="G19" i="2"/>
  <c r="G14" i="2"/>
  <c r="C21" i="2"/>
  <c r="C22" i="2"/>
  <c r="C20" i="2"/>
  <c r="E21" i="2"/>
  <c r="E22" i="2" s="1"/>
  <c r="E30" i="2" s="1"/>
  <c r="E20" i="2"/>
  <c r="H23" i="2"/>
  <c r="H12" i="2"/>
  <c r="H13" i="2" s="1"/>
  <c r="H14" i="2" s="1"/>
  <c r="H15" i="2"/>
  <c r="I8" i="2"/>
  <c r="D18" i="2"/>
  <c r="H10" i="2"/>
  <c r="H17" i="2" s="1"/>
  <c r="H18" i="2" s="1"/>
  <c r="L12" i="2"/>
  <c r="E18" i="2"/>
  <c r="L19" i="2"/>
  <c r="G25" i="2"/>
  <c r="G38" i="2"/>
  <c r="G47" i="2" s="1"/>
  <c r="F22" i="2"/>
  <c r="F20" i="2"/>
  <c r="C20" i="1"/>
  <c r="F29" i="1"/>
  <c r="C28" i="1"/>
  <c r="G10" i="1"/>
  <c r="D18" i="1"/>
  <c r="E18" i="1"/>
  <c r="D20" i="1"/>
  <c r="F18" i="1"/>
  <c r="E20" i="1"/>
  <c r="F20" i="1"/>
  <c r="Q12" i="1"/>
  <c r="F14" i="1"/>
  <c r="E22" i="1"/>
  <c r="E30" i="1" s="1"/>
  <c r="E14" i="1"/>
  <c r="D22" i="1"/>
  <c r="D30" i="1" s="1"/>
  <c r="D14" i="1"/>
  <c r="C22" i="1"/>
  <c r="H8" i="1"/>
  <c r="Q19" i="1"/>
  <c r="Q17" i="1"/>
  <c r="G15" i="1"/>
  <c r="L22" i="2" l="1"/>
  <c r="F30" i="2"/>
  <c r="L30" i="2" s="1"/>
  <c r="G21" i="2"/>
  <c r="G22" i="2"/>
  <c r="G30" i="2" s="1"/>
  <c r="I15" i="2"/>
  <c r="I10" i="2"/>
  <c r="I17" i="2" s="1"/>
  <c r="I18" i="2" s="1"/>
  <c r="I12" i="2"/>
  <c r="I13" i="2" s="1"/>
  <c r="I14" i="2" s="1"/>
  <c r="J8" i="2"/>
  <c r="I25" i="2"/>
  <c r="I23" i="2"/>
  <c r="I27" i="2"/>
  <c r="I29" i="2" s="1"/>
  <c r="H19" i="2"/>
  <c r="K31" i="2"/>
  <c r="K33" i="2" s="1"/>
  <c r="J41" i="2"/>
  <c r="I31" i="2"/>
  <c r="I33" i="2" s="1"/>
  <c r="J31" i="2"/>
  <c r="J33" i="2" s="1"/>
  <c r="H31" i="2"/>
  <c r="H33" i="2" s="1"/>
  <c r="C42" i="2"/>
  <c r="G31" i="2"/>
  <c r="G33" i="2" s="1"/>
  <c r="G34" i="2" s="1"/>
  <c r="G17" i="1"/>
  <c r="H31" i="1"/>
  <c r="H33" i="1" s="1"/>
  <c r="K31" i="1"/>
  <c r="K33" i="1" s="1"/>
  <c r="G33" i="1"/>
  <c r="J31" i="1"/>
  <c r="J33" i="1" s="1"/>
  <c r="I31" i="1"/>
  <c r="I33" i="1" s="1"/>
  <c r="H10" i="1"/>
  <c r="G23" i="1"/>
  <c r="F22" i="1"/>
  <c r="F30" i="1" s="1"/>
  <c r="Q30" i="1" s="1"/>
  <c r="H23" i="1"/>
  <c r="H15" i="1"/>
  <c r="I8" i="1"/>
  <c r="H25" i="1"/>
  <c r="G12" i="1"/>
  <c r="G13" i="1" s="1"/>
  <c r="G14" i="1" s="1"/>
  <c r="J40" i="2" l="1"/>
  <c r="J39" i="2" s="1"/>
  <c r="J42" i="2"/>
  <c r="J43" i="2" s="1"/>
  <c r="H21" i="2"/>
  <c r="H22" i="2" s="1"/>
  <c r="H30" i="2" s="1"/>
  <c r="H34" i="2" s="1"/>
  <c r="I19" i="2"/>
  <c r="J10" i="2"/>
  <c r="J23" i="2"/>
  <c r="K8" i="2"/>
  <c r="J15" i="2"/>
  <c r="J12" i="2"/>
  <c r="J13" i="2" s="1"/>
  <c r="J14" i="2" s="1"/>
  <c r="J27" i="2"/>
  <c r="J29" i="2" s="1"/>
  <c r="J25" i="2"/>
  <c r="Q22" i="1"/>
  <c r="H27" i="1"/>
  <c r="H29" i="1" s="1"/>
  <c r="I10" i="1"/>
  <c r="H17" i="1"/>
  <c r="H19" i="1" s="1"/>
  <c r="G18" i="1"/>
  <c r="G19" i="1"/>
  <c r="H12" i="1"/>
  <c r="H13" i="1" s="1"/>
  <c r="H14" i="1" s="1"/>
  <c r="I23" i="1"/>
  <c r="I27" i="1"/>
  <c r="I15" i="1"/>
  <c r="J8" i="1"/>
  <c r="K8" i="1" s="1"/>
  <c r="I25" i="1"/>
  <c r="K15" i="1" l="1"/>
  <c r="L8" i="1"/>
  <c r="R8" i="1"/>
  <c r="I21" i="2"/>
  <c r="I22" i="2" s="1"/>
  <c r="I30" i="2" s="1"/>
  <c r="I34" i="2" s="1"/>
  <c r="K23" i="2"/>
  <c r="M8" i="2"/>
  <c r="K15" i="2"/>
  <c r="K12" i="2"/>
  <c r="K27" i="2"/>
  <c r="K29" i="2" s="1"/>
  <c r="K10" i="2"/>
  <c r="K25" i="2"/>
  <c r="J17" i="2"/>
  <c r="I29" i="1"/>
  <c r="H21" i="1"/>
  <c r="H22" i="1" s="1"/>
  <c r="H18" i="1"/>
  <c r="I17" i="1"/>
  <c r="I18" i="1" s="1"/>
  <c r="J27" i="1"/>
  <c r="J29" i="1" s="1"/>
  <c r="J15" i="1"/>
  <c r="J25" i="1"/>
  <c r="J23" i="1"/>
  <c r="G21" i="1"/>
  <c r="G22" i="1" s="1"/>
  <c r="I12" i="1"/>
  <c r="I13" i="1" s="1"/>
  <c r="I14" i="1" s="1"/>
  <c r="L15" i="1" l="1"/>
  <c r="L25" i="1"/>
  <c r="M8" i="1"/>
  <c r="L27" i="1"/>
  <c r="L10" i="1"/>
  <c r="L17" i="1" s="1"/>
  <c r="L23" i="1"/>
  <c r="M12" i="2"/>
  <c r="K13" i="2"/>
  <c r="K14" i="2" s="1"/>
  <c r="J18" i="2"/>
  <c r="J19" i="2"/>
  <c r="K17" i="2"/>
  <c r="G30" i="1"/>
  <c r="G34" i="1" s="1"/>
  <c r="H30" i="1"/>
  <c r="H34" i="1" s="1"/>
  <c r="I19" i="1"/>
  <c r="I21" i="1" s="1"/>
  <c r="I22" i="1" s="1"/>
  <c r="J10" i="1"/>
  <c r="J17" i="1" s="1"/>
  <c r="J18" i="1" s="1"/>
  <c r="K27" i="1"/>
  <c r="K29" i="1" s="1"/>
  <c r="K10" i="1"/>
  <c r="K12" i="1" s="1"/>
  <c r="K25" i="1"/>
  <c r="K23" i="1"/>
  <c r="L29" i="1" l="1"/>
  <c r="N8" i="1"/>
  <c r="M27" i="1"/>
  <c r="M29" i="1" s="1"/>
  <c r="M10" i="1"/>
  <c r="M12" i="1" s="1"/>
  <c r="M13" i="1" s="1"/>
  <c r="M15" i="1"/>
  <c r="M25" i="1"/>
  <c r="M23" i="1"/>
  <c r="L19" i="1"/>
  <c r="L12" i="1"/>
  <c r="K18" i="2"/>
  <c r="M17" i="2"/>
  <c r="K19" i="2"/>
  <c r="J21" i="2"/>
  <c r="J22" i="2"/>
  <c r="J30" i="2" s="1"/>
  <c r="J34" i="2" s="1"/>
  <c r="J12" i="1"/>
  <c r="J13" i="1" s="1"/>
  <c r="J14" i="1" s="1"/>
  <c r="I30" i="1"/>
  <c r="I34" i="1" s="1"/>
  <c r="J19" i="1"/>
  <c r="J21" i="1" s="1"/>
  <c r="J22" i="1" s="1"/>
  <c r="K17" i="1"/>
  <c r="K19" i="1" s="1"/>
  <c r="K21" i="1" s="1"/>
  <c r="K22" i="1" s="1"/>
  <c r="K30" i="1" s="1"/>
  <c r="K13" i="1"/>
  <c r="R12" i="1"/>
  <c r="M17" i="1" l="1"/>
  <c r="L21" i="1"/>
  <c r="L22" i="1" s="1"/>
  <c r="O8" i="1"/>
  <c r="N27" i="1"/>
  <c r="N29" i="1" s="1"/>
  <c r="N10" i="1"/>
  <c r="N15" i="1"/>
  <c r="N25" i="1"/>
  <c r="N23" i="1"/>
  <c r="L13" i="1"/>
  <c r="L14" i="1" s="1"/>
  <c r="L18" i="1"/>
  <c r="K14" i="1"/>
  <c r="M19" i="2"/>
  <c r="K21" i="2"/>
  <c r="K22" i="2" s="1"/>
  <c r="J30" i="1"/>
  <c r="J34" i="1" s="1"/>
  <c r="R19" i="1"/>
  <c r="K18" i="1"/>
  <c r="R17" i="1"/>
  <c r="R22" i="1"/>
  <c r="N17" i="1" l="1"/>
  <c r="N18" i="1" s="1"/>
  <c r="L30" i="1"/>
  <c r="P8" i="1"/>
  <c r="O27" i="1"/>
  <c r="O29" i="1" s="1"/>
  <c r="O10" i="1"/>
  <c r="O12" i="1"/>
  <c r="O13" i="1" s="1"/>
  <c r="O15" i="1"/>
  <c r="O25" i="1"/>
  <c r="O23" i="1"/>
  <c r="N19" i="1"/>
  <c r="M18" i="1"/>
  <c r="M19" i="1"/>
  <c r="N12" i="1"/>
  <c r="N13" i="1" s="1"/>
  <c r="N14" i="1" s="1"/>
  <c r="M14" i="1"/>
  <c r="K30" i="2"/>
  <c r="M22" i="2"/>
  <c r="R30" i="1"/>
  <c r="K34" i="1"/>
  <c r="M21" i="1" l="1"/>
  <c r="M22" i="1" s="1"/>
  <c r="M30" i="1" s="1"/>
  <c r="M34" i="1" s="1"/>
  <c r="N21" i="1"/>
  <c r="N22" i="1" s="1"/>
  <c r="N30" i="1" s="1"/>
  <c r="N34" i="1" s="1"/>
  <c r="L34" i="1"/>
  <c r="O14" i="1"/>
  <c r="O17" i="1"/>
  <c r="P25" i="1"/>
  <c r="P27" i="1"/>
  <c r="P29" i="1" s="1"/>
  <c r="P10" i="1"/>
  <c r="P12" i="1" s="1"/>
  <c r="P15" i="1"/>
  <c r="S8" i="1"/>
  <c r="P23" i="1"/>
  <c r="C37" i="2"/>
  <c r="C39" i="2" s="1"/>
  <c r="M30" i="2"/>
  <c r="K34" i="2"/>
  <c r="P13" i="1" l="1"/>
  <c r="P14" i="1" s="1"/>
  <c r="S12" i="1"/>
  <c r="P17" i="1"/>
  <c r="O18" i="1"/>
  <c r="O19" i="1"/>
  <c r="C40" i="2"/>
  <c r="C43" i="2"/>
  <c r="C46" i="2" s="1"/>
  <c r="C49" i="2" s="1"/>
  <c r="C51" i="2" s="1"/>
  <c r="C53" i="2" s="1"/>
  <c r="P18" i="1" l="1"/>
  <c r="S17" i="1"/>
  <c r="P19" i="1"/>
  <c r="O21" i="1"/>
  <c r="O22" i="1" s="1"/>
  <c r="O30" i="1" s="1"/>
  <c r="O34" i="1" s="1"/>
  <c r="P21" i="1" l="1"/>
  <c r="P22" i="1" s="1"/>
  <c r="S19" i="1"/>
  <c r="S22" i="1" l="1"/>
  <c r="P30" i="1"/>
  <c r="P34" i="1" l="1"/>
  <c r="C37" i="1"/>
  <c r="C39" i="1" s="1"/>
  <c r="S30" i="1"/>
  <c r="C40" i="1" l="1"/>
  <c r="C43" i="1"/>
  <c r="C46" i="1" s="1"/>
  <c r="C49" i="1" s="1"/>
  <c r="C51" i="1" s="1"/>
  <c r="C53" i="1" s="1"/>
  <c r="K39" i="1"/>
  <c r="L39" i="1"/>
  <c r="M39" i="1"/>
  <c r="N39" i="1"/>
  <c r="O39" i="1"/>
  <c r="K40" i="1"/>
  <c r="L40" i="1"/>
  <c r="M40" i="1"/>
  <c r="N40" i="1"/>
  <c r="O40" i="1"/>
  <c r="K41" i="1"/>
  <c r="L41" i="1"/>
  <c r="M41" i="1"/>
  <c r="N41" i="1"/>
  <c r="O41" i="1"/>
  <c r="K42" i="1"/>
  <c r="L42" i="1"/>
  <c r="M42" i="1"/>
  <c r="N42" i="1"/>
  <c r="O42" i="1"/>
  <c r="K43" i="1"/>
  <c r="L43" i="1"/>
  <c r="M43" i="1"/>
  <c r="N43" i="1"/>
  <c r="O43" i="1"/>
  <c r="K39" i="2"/>
  <c r="L39" i="2"/>
  <c r="M39" i="2"/>
  <c r="N39" i="2"/>
  <c r="O39" i="2"/>
  <c r="K40" i="2"/>
  <c r="L40" i="2"/>
  <c r="M40" i="2"/>
  <c r="N40" i="2"/>
  <c r="O40" i="2"/>
  <c r="K41" i="2"/>
  <c r="L41" i="2"/>
  <c r="M41" i="2"/>
  <c r="N41" i="2"/>
  <c r="O41" i="2"/>
  <c r="K42" i="2"/>
  <c r="L42" i="2"/>
  <c r="M42" i="2"/>
  <c r="N42" i="2"/>
  <c r="O42" i="2"/>
  <c r="K43" i="2"/>
  <c r="L43" i="2"/>
  <c r="M43" i="2"/>
  <c r="N43" i="2"/>
  <c r="O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7" authorId="0" shapeId="0" xr:uid="{C84B51E5-61FE-4047-9224-77DE4DDC316C}">
      <text>
        <r>
          <rPr>
            <sz val="11"/>
            <color rgb="FF000000"/>
            <rFont val="Calibri"/>
            <family val="2"/>
          </rPr>
          <t>Credit Rating - A (S&amp;P), Spread of 1.07% per Damodaran</t>
        </r>
      </text>
    </comment>
    <comment ref="C50" authorId="0" shapeId="0" xr:uid="{BE8C1A74-EF54-7541-B05F-2CE8E862096F}">
      <text>
        <r>
          <rPr>
            <sz val="11"/>
            <color rgb="FF000000"/>
            <rFont val="Calibri"/>
            <family val="2"/>
          </rPr>
          <t xml:space="preserve">From most recent 10k
</t>
        </r>
      </text>
    </comment>
  </commentList>
</comments>
</file>

<file path=xl/sharedStrings.xml><?xml version="1.0" encoding="utf-8"?>
<sst xmlns="http://schemas.openxmlformats.org/spreadsheetml/2006/main" count="150" uniqueCount="67">
  <si>
    <t>Discounted Cash Flow Analysis</t>
  </si>
  <si>
    <t>HISTORICAL FINANCIALS</t>
  </si>
  <si>
    <t>PROJECTION PERIOD</t>
  </si>
  <si>
    <t>CAGR</t>
  </si>
  <si>
    <t>All figures in millions USD</t>
  </si>
  <si>
    <t>REVENUE</t>
  </si>
  <si>
    <t>Growth, %</t>
  </si>
  <si>
    <t>COGS</t>
  </si>
  <si>
    <t>% of Sales</t>
  </si>
  <si>
    <t>GROSS PROFIT</t>
  </si>
  <si>
    <t>Gross Margin, %</t>
  </si>
  <si>
    <t>Operating Expenses</t>
  </si>
  <si>
    <t>TOTAL COSTS</t>
  </si>
  <si>
    <t>EBIT</t>
  </si>
  <si>
    <t>Margin, %</t>
  </si>
  <si>
    <t>Tax Expense</t>
  </si>
  <si>
    <t>NOPAT (EBIAT)</t>
  </si>
  <si>
    <t>D&amp;A</t>
  </si>
  <si>
    <t>Capital Expenditures</t>
  </si>
  <si>
    <t>Net Working Capital</t>
  </si>
  <si>
    <t>Change in NWC</t>
  </si>
  <si>
    <t>UNLEVERED FREE CASH FLOW</t>
  </si>
  <si>
    <t>WACC</t>
  </si>
  <si>
    <t>Discount Period</t>
  </si>
  <si>
    <t>Discount Factor</t>
  </si>
  <si>
    <t>PV OF FREE CASH FLOW</t>
  </si>
  <si>
    <t>TERMINAL VALUE</t>
  </si>
  <si>
    <t>WACC CALCULATION</t>
  </si>
  <si>
    <t>SENSITIVITY ANALYSIS</t>
  </si>
  <si>
    <t>Terminal Year Free Cash Flow</t>
  </si>
  <si>
    <t>Debt</t>
  </si>
  <si>
    <t>Perpetuity Growth Rate</t>
  </si>
  <si>
    <t>% Debt</t>
  </si>
  <si>
    <t>Terminal Value</t>
  </si>
  <si>
    <t>COST OF DEBT</t>
  </si>
  <si>
    <t>Implied Exit Multiple</t>
  </si>
  <si>
    <t>Effective Tax Rate</t>
  </si>
  <si>
    <t>Equity Value</t>
  </si>
  <si>
    <t>% Equity</t>
  </si>
  <si>
    <t>PV OF TERMINAL VALUE</t>
  </si>
  <si>
    <t>COST OF EQUITY</t>
  </si>
  <si>
    <t>Risk Free Rate</t>
  </si>
  <si>
    <t>VALUATION</t>
  </si>
  <si>
    <t>Beta</t>
  </si>
  <si>
    <t>ENTERPRISE VALUE</t>
  </si>
  <si>
    <t>Equity Risk Premium</t>
  </si>
  <si>
    <t>(+) Cash</t>
  </si>
  <si>
    <t>(-) Debt</t>
  </si>
  <si>
    <t>MARKET CAP (EQUITY VALUE)</t>
  </si>
  <si>
    <t>Outstanding Shares</t>
  </si>
  <si>
    <t>IMPLIED PRICE</t>
  </si>
  <si>
    <t>Current Price</t>
  </si>
  <si>
    <t>Implied Upside/Downside</t>
  </si>
  <si>
    <t>2024A</t>
  </si>
  <si>
    <t>2021-2024</t>
  </si>
  <si>
    <t>2025-2029</t>
  </si>
  <si>
    <t>2023A</t>
  </si>
  <si>
    <t>2022A</t>
  </si>
  <si>
    <r>
      <t xml:space="preserve">Valuation Date: </t>
    </r>
    <r>
      <rPr>
        <sz val="11"/>
        <color rgb="FF4D4D4D"/>
        <rFont val="&quot;Times New Roman&quot;"/>
      </rPr>
      <t>12/7/2025</t>
    </r>
  </si>
  <si>
    <t>Tesla, Inc.</t>
  </si>
  <si>
    <t>2025A LTM</t>
  </si>
  <si>
    <t>2030E</t>
  </si>
  <si>
    <t>2031E</t>
  </si>
  <si>
    <t>2032E</t>
  </si>
  <si>
    <t>2033E</t>
  </si>
  <si>
    <t>2034E</t>
  </si>
  <si>
    <t>2030-2034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</si>
</sst>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\A"/>
    <numFmt numFmtId="165" formatCode="0&quot;E&quot;"/>
    <numFmt numFmtId="166" formatCode="0.0%"/>
    <numFmt numFmtId="167" formatCode="#,##0.0"/>
    <numFmt numFmtId="168" formatCode="&quot;$&quot;#,##0.00"/>
  </numFmts>
  <fonts count="41">
    <font>
      <sz val="11"/>
      <color rgb="FF000000"/>
      <name val="Calibri"/>
    </font>
    <font>
      <sz val="22"/>
      <color rgb="FF000000"/>
      <name val="Times New Roman"/>
      <family val="1"/>
    </font>
    <font>
      <b/>
      <sz val="15"/>
      <color rgb="FF7F7F7F"/>
      <name val="Times New Roman"/>
      <family val="1"/>
    </font>
    <font>
      <b/>
      <sz val="20"/>
      <color rgb="FFA5A5A5"/>
      <name val="Times New Roman"/>
      <family val="1"/>
    </font>
    <font>
      <b/>
      <sz val="15"/>
      <color rgb="FF4D4D4D"/>
      <name val="Times New Roman"/>
      <family val="1"/>
    </font>
    <font>
      <b/>
      <sz val="12"/>
      <color rgb="FF4D4D4D"/>
      <name val="&quot;Times New Roman&quot;"/>
    </font>
    <font>
      <b/>
      <sz val="11"/>
      <color rgb="FF4D4D4D"/>
      <name val="&quot;Times New Roman&quot;"/>
    </font>
    <font>
      <sz val="9"/>
      <color rgb="FF000000"/>
      <name val="Times New Roman"/>
      <family val="1"/>
    </font>
    <font>
      <b/>
      <sz val="9"/>
      <color rgb="FFFFFFFF"/>
      <name val="Times New Roman"/>
      <family val="1"/>
    </font>
    <font>
      <b/>
      <u/>
      <sz val="9"/>
      <color rgb="FFFFFFFF"/>
      <name val="Times New Roman"/>
      <family val="1"/>
    </font>
    <font>
      <b/>
      <u/>
      <sz val="9"/>
      <color rgb="FFFFFFFF"/>
      <name val="Times New Roman"/>
      <family val="1"/>
    </font>
    <font>
      <i/>
      <sz val="9"/>
      <color rgb="FF4D4D4D"/>
      <name val="Times New Roman"/>
      <family val="1"/>
    </font>
    <font>
      <b/>
      <sz val="9"/>
      <color rgb="FF4D4D4D"/>
      <name val="Times New Roman"/>
      <family val="1"/>
    </font>
    <font>
      <b/>
      <sz val="9"/>
      <color rgb="FF0000FF"/>
      <name val="Times New Roman"/>
      <family val="1"/>
    </font>
    <font>
      <b/>
      <sz val="9"/>
      <color rgb="FF4D4D4D"/>
      <name val="&quot;Times New Roman&quot;"/>
    </font>
    <font>
      <b/>
      <i/>
      <sz val="9"/>
      <color rgb="FF4D4D4D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i/>
      <sz val="9"/>
      <color rgb="FFFF0000"/>
      <name val="&quot;Times New Roman&quot;"/>
    </font>
    <font>
      <sz val="9"/>
      <color rgb="FF4D4D4D"/>
      <name val="Times New Roman"/>
      <family val="1"/>
    </font>
    <font>
      <sz val="9"/>
      <color rgb="FF0000FF"/>
      <name val="Times New Roman"/>
      <family val="1"/>
    </font>
    <font>
      <sz val="9"/>
      <color rgb="FF4D4D4D"/>
      <name val="&quot;Times New Roman&quot;"/>
    </font>
    <font>
      <sz val="9"/>
      <color rgb="FFFF0000"/>
      <name val="&quot;Times New Roman&quot;"/>
    </font>
    <font>
      <i/>
      <sz val="9"/>
      <color rgb="FF4D4D4D"/>
      <name val="&quot;Times New Roman&quot;"/>
    </font>
    <font>
      <i/>
      <sz val="9"/>
      <color rgb="FF595959"/>
      <name val="&quot;Times New Roman&quot;"/>
    </font>
    <font>
      <sz val="9"/>
      <color rgb="FF595959"/>
      <name val="Times New Roman"/>
      <family val="1"/>
    </font>
    <font>
      <sz val="8"/>
      <color rgb="FF000000"/>
      <name val="Arial"/>
      <family val="2"/>
    </font>
    <font>
      <sz val="9"/>
      <color rgb="FF595959"/>
      <name val="&quot;Times New Roman&quot;"/>
    </font>
    <font>
      <i/>
      <sz val="9"/>
      <color rgb="FF000000"/>
      <name val="Times New Roman"/>
      <family val="1"/>
    </font>
    <font>
      <i/>
      <sz val="9"/>
      <color rgb="FFFF0000"/>
      <name val="Times New Roman"/>
      <family val="1"/>
    </font>
    <font>
      <sz val="9"/>
      <color rgb="FF44546A"/>
      <name val="Times New Roman"/>
      <family val="1"/>
    </font>
    <font>
      <i/>
      <sz val="9"/>
      <color rgb="FF0000FF"/>
      <name val="Times New Roman"/>
      <family val="1"/>
    </font>
    <font>
      <i/>
      <sz val="9"/>
      <color rgb="FF595959"/>
      <name val="Times New Roman"/>
      <family val="1"/>
    </font>
    <font>
      <sz val="9"/>
      <color rgb="FFFFFFFF"/>
      <name val="Times New Roman"/>
      <family val="1"/>
    </font>
    <font>
      <b/>
      <sz val="9"/>
      <color rgb="FFFFFFFF"/>
      <name val="&quot;Times New Roman&quot;"/>
    </font>
    <font>
      <sz val="11"/>
      <name val="Calibri"/>
      <family val="2"/>
    </font>
    <font>
      <b/>
      <sz val="9"/>
      <color rgb="FF595959"/>
      <name val="Times New Roman"/>
      <family val="1"/>
    </font>
    <font>
      <sz val="9"/>
      <color rgb="FF048EB0"/>
      <name val="Times New Roman"/>
      <family val="1"/>
    </font>
    <font>
      <sz val="11"/>
      <name val="Calibri"/>
      <family val="2"/>
    </font>
    <font>
      <sz val="11"/>
      <color rgb="FF4D4D4D"/>
      <name val="&quot;Times New Roman&quot;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6DCE4"/>
        <bgColor rgb="FFD6DCE4"/>
      </patternFill>
    </fill>
    <fill>
      <patternFill patternType="solid">
        <fgColor rgb="FF0B5394"/>
        <bgColor rgb="FF0B5394"/>
      </patternFill>
    </fill>
    <fill>
      <patternFill patternType="solid">
        <fgColor rgb="FF7F7F7F"/>
        <bgColor rgb="FF7F7F7F"/>
      </patternFill>
    </fill>
    <fill>
      <patternFill patternType="solid">
        <fgColor rgb="FF1C4587"/>
        <bgColor rgb="FF1C4587"/>
      </patternFill>
    </fill>
    <fill>
      <patternFill patternType="solid">
        <fgColor rgb="FF595959"/>
        <bgColor rgb="FF595959"/>
      </patternFill>
    </fill>
    <fill>
      <patternFill patternType="solid">
        <fgColor rgb="FF073763"/>
        <bgColor rgb="FF073763"/>
      </patternFill>
    </fill>
    <fill>
      <patternFill patternType="solid">
        <fgColor rgb="FFD8D8D8"/>
        <bgColor rgb="FFD8D8D8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3C78D8"/>
        <bgColor rgb="FF3C78D8"/>
      </patternFill>
    </fill>
    <fill>
      <patternFill patternType="solid">
        <fgColor rgb="FF5388DE"/>
        <bgColor rgb="FF5388DE"/>
      </patternFill>
    </fill>
    <fill>
      <patternFill patternType="solid">
        <fgColor rgb="FF6796E2"/>
        <bgColor rgb="FF6796E2"/>
      </patternFill>
    </fill>
    <fill>
      <patternFill patternType="solid">
        <fgColor rgb="FF79A3E6"/>
        <bgColor rgb="FF79A3E6"/>
      </patternFill>
    </fill>
    <fill>
      <patternFill patternType="solid">
        <fgColor rgb="FF8AAEEA"/>
        <bgColor rgb="FF8AAEEA"/>
      </patternFill>
    </fill>
    <fill>
      <patternFill patternType="solid">
        <fgColor rgb="FF568ADE"/>
        <bgColor rgb="FF568ADE"/>
      </patternFill>
    </fill>
    <fill>
      <patternFill patternType="solid">
        <fgColor rgb="FF6A98E3"/>
        <bgColor rgb="FF6A98E3"/>
      </patternFill>
    </fill>
    <fill>
      <patternFill patternType="solid">
        <fgColor rgb="FF7CA5E7"/>
        <bgColor rgb="FF7CA5E7"/>
      </patternFill>
    </fill>
    <fill>
      <patternFill patternType="solid">
        <fgColor rgb="FF8DB0EB"/>
        <bgColor rgb="FF8DB0EB"/>
      </patternFill>
    </fill>
    <fill>
      <patternFill patternType="solid">
        <fgColor rgb="FF9CBBEE"/>
        <bgColor rgb="FF9CBBEE"/>
      </patternFill>
    </fill>
    <fill>
      <patternFill patternType="solid">
        <fgColor rgb="FF6D9AE4"/>
        <bgColor rgb="FF6D9AE4"/>
      </patternFill>
    </fill>
    <fill>
      <patternFill patternType="solid">
        <fgColor rgb="FF7FA7E8"/>
        <bgColor rgb="FF7FA7E8"/>
      </patternFill>
    </fill>
    <fill>
      <patternFill patternType="solid">
        <fgColor rgb="FF8FB2EB"/>
        <bgColor rgb="FF8FB2EB"/>
      </patternFill>
    </fill>
    <fill>
      <patternFill patternType="solid">
        <fgColor rgb="FF9EBDEF"/>
        <bgColor rgb="FF9EBDEF"/>
      </patternFill>
    </fill>
    <fill>
      <patternFill patternType="solid">
        <fgColor rgb="FFACC6F2"/>
        <bgColor rgb="FFACC6F2"/>
      </patternFill>
    </fill>
    <fill>
      <patternFill patternType="solid">
        <fgColor rgb="FF82A9E8"/>
        <bgColor rgb="FF82A9E8"/>
      </patternFill>
    </fill>
    <fill>
      <patternFill patternType="solid">
        <fgColor rgb="FF92B4EC"/>
        <bgColor rgb="FF92B4EC"/>
      </patternFill>
    </fill>
    <fill>
      <patternFill patternType="solid">
        <fgColor rgb="FFA1BEEF"/>
        <bgColor rgb="FFA1BEEF"/>
      </patternFill>
    </fill>
    <fill>
      <patternFill patternType="solid">
        <fgColor rgb="FFAFC8F2"/>
        <bgColor rgb="FFAFC8F2"/>
      </patternFill>
    </fill>
    <fill>
      <patternFill patternType="solid">
        <fgColor rgb="FFBBD1F5"/>
        <bgColor rgb="FFBBD1F5"/>
      </patternFill>
    </fill>
    <fill>
      <patternFill patternType="solid">
        <fgColor rgb="FF95B6ED"/>
        <bgColor rgb="FF95B6ED"/>
      </patternFill>
    </fill>
    <fill>
      <patternFill patternType="solid">
        <fgColor rgb="FFA4C0F0"/>
        <bgColor rgb="FFA4C0F0"/>
      </patternFill>
    </fill>
    <fill>
      <patternFill patternType="solid">
        <fgColor rgb="FFB1CAF3"/>
        <bgColor rgb="FFB1CAF3"/>
      </patternFill>
    </fill>
    <fill>
      <patternFill patternType="solid">
        <fgColor rgb="FFBED2F6"/>
        <bgColor rgb="FFBED2F6"/>
      </patternFill>
    </fill>
  </fills>
  <borders count="71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hair">
        <color rgb="FFBFBFBF"/>
      </right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/>
      <right/>
      <top style="thin">
        <color rgb="FF333F4F"/>
      </top>
      <bottom/>
      <diagonal/>
    </border>
    <border>
      <left/>
      <right style="hair">
        <color rgb="FFBFBFBF"/>
      </right>
      <top style="thin">
        <color rgb="FF333F4F"/>
      </top>
      <bottom/>
      <diagonal/>
    </border>
    <border>
      <left/>
      <right/>
      <top style="thin">
        <color rgb="FF595959"/>
      </top>
      <bottom/>
      <diagonal/>
    </border>
    <border>
      <left/>
      <right/>
      <top style="thin">
        <color rgb="FF333F4F"/>
      </top>
      <bottom/>
      <diagonal/>
    </border>
    <border>
      <left/>
      <right style="thin">
        <color rgb="FF666666"/>
      </right>
      <top style="thin">
        <color rgb="FF333F4F"/>
      </top>
      <bottom/>
      <diagonal/>
    </border>
    <border>
      <left style="thin">
        <color rgb="FF666666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666666"/>
      </right>
      <top style="thin">
        <color rgb="FFBFBFBF"/>
      </top>
      <bottom style="thin">
        <color rgb="FFBFBFBF"/>
      </bottom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666666"/>
      </left>
      <right/>
      <top/>
      <bottom/>
      <diagonal/>
    </border>
    <border>
      <left/>
      <right style="hair">
        <color rgb="FFBFBFBF"/>
      </right>
      <top/>
      <bottom/>
      <diagonal/>
    </border>
    <border>
      <left style="thin">
        <color rgb="FF666666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666666"/>
      </right>
      <top/>
      <bottom/>
      <diagonal/>
    </border>
    <border>
      <left/>
      <right/>
      <top/>
      <bottom/>
      <diagonal/>
    </border>
    <border>
      <left/>
      <right style="hair">
        <color rgb="FFBFBFBF"/>
      </right>
      <top/>
      <bottom/>
      <diagonal/>
    </border>
    <border>
      <left/>
      <right style="hair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666666"/>
      </left>
      <right/>
      <top style="thin">
        <color rgb="FFBFBFBF"/>
      </top>
      <bottom style="thin">
        <color rgb="FF666666"/>
      </bottom>
      <diagonal/>
    </border>
    <border>
      <left/>
      <right/>
      <top style="thin">
        <color rgb="FFBFBFBF"/>
      </top>
      <bottom style="thin">
        <color rgb="FF666666"/>
      </bottom>
      <diagonal/>
    </border>
    <border>
      <left/>
      <right style="hair">
        <color rgb="FFBFBFBF"/>
      </right>
      <top style="thin">
        <color rgb="FFBFBFBF"/>
      </top>
      <bottom style="thin">
        <color rgb="FF666666"/>
      </bottom>
      <diagonal/>
    </border>
    <border>
      <left/>
      <right style="thin">
        <color rgb="FFA5A5A5"/>
      </right>
      <top style="thin">
        <color rgb="FFBFBFBF"/>
      </top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666666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666666"/>
      </right>
      <top style="thin">
        <color rgb="FF7F7F7F"/>
      </top>
      <bottom/>
      <diagonal/>
    </border>
    <border>
      <left/>
      <right style="thin">
        <color rgb="FF666666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 style="thin">
        <color rgb="FFBFBFBF"/>
      </top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  <border>
      <left style="thin">
        <color rgb="FF666666"/>
      </left>
      <right/>
      <top/>
      <bottom style="thin">
        <color rgb="FFBFBFBF"/>
      </bottom>
      <diagonal/>
    </border>
    <border>
      <left/>
      <right style="thin">
        <color rgb="FF666666"/>
      </right>
      <top/>
      <bottom style="thin">
        <color rgb="FFBFBFBF"/>
      </bottom>
      <diagonal/>
    </border>
    <border>
      <left style="thin">
        <color rgb="FF666666"/>
      </left>
      <right/>
      <top/>
      <bottom/>
      <diagonal/>
    </border>
    <border>
      <left style="thin">
        <color rgb="FF000000"/>
      </left>
      <right/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666666"/>
      </bottom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/>
      <right style="thin">
        <color rgb="FF000000"/>
      </right>
      <top/>
      <bottom style="thin">
        <color rgb="FF666666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49" fontId="4" fillId="3" borderId="1" xfId="0" applyNumberFormat="1" applyFont="1" applyFill="1" applyBorder="1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49" fontId="5" fillId="3" borderId="5" xfId="0" applyNumberFormat="1" applyFont="1" applyFill="1" applyBorder="1" applyAlignment="1">
      <alignment horizontal="left" vertical="top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49" fontId="6" fillId="4" borderId="10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5" borderId="11" xfId="0" applyFont="1" applyFill="1" applyBorder="1" applyAlignment="1">
      <alignment vertical="center"/>
    </xf>
    <xf numFmtId="49" fontId="8" fillId="6" borderId="12" xfId="0" applyNumberFormat="1" applyFont="1" applyFill="1" applyBorder="1" applyAlignment="1">
      <alignment horizontal="left" vertical="center" readingOrder="1"/>
    </xf>
    <xf numFmtId="0" fontId="8" fillId="6" borderId="12" xfId="0" applyFont="1" applyFill="1" applyBorder="1" applyAlignment="1">
      <alignment horizontal="left" vertical="center" wrapText="1" readingOrder="1"/>
    </xf>
    <xf numFmtId="0" fontId="8" fillId="6" borderId="13" xfId="0" applyFont="1" applyFill="1" applyBorder="1" applyAlignment="1">
      <alignment horizontal="left" vertical="center" wrapText="1" readingOrder="1"/>
    </xf>
    <xf numFmtId="49" fontId="8" fillId="7" borderId="12" xfId="0" applyNumberFormat="1" applyFont="1" applyFill="1" applyBorder="1" applyAlignment="1">
      <alignment horizontal="left" vertical="center"/>
    </xf>
    <xf numFmtId="0" fontId="8" fillId="7" borderId="12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49" fontId="8" fillId="8" borderId="12" xfId="0" applyNumberFormat="1" applyFont="1" applyFill="1" applyBorder="1" applyAlignment="1">
      <alignment horizontal="left" vertical="center" wrapText="1" readingOrder="1"/>
    </xf>
    <xf numFmtId="0" fontId="8" fillId="8" borderId="15" xfId="0" applyFont="1" applyFill="1" applyBorder="1" applyAlignment="1">
      <alignment horizontal="left" vertical="center" wrapText="1" readingOrder="1"/>
    </xf>
    <xf numFmtId="0" fontId="11" fillId="5" borderId="16" xfId="0" applyFont="1" applyFill="1" applyBorder="1" applyAlignment="1">
      <alignment vertical="center"/>
    </xf>
    <xf numFmtId="164" fontId="8" fillId="8" borderId="17" xfId="0" applyNumberFormat="1" applyFont="1" applyFill="1" applyBorder="1" applyAlignment="1">
      <alignment horizontal="center" vertical="center" wrapText="1" readingOrder="1"/>
    </xf>
    <xf numFmtId="164" fontId="8" fillId="8" borderId="18" xfId="0" applyNumberFormat="1" applyFont="1" applyFill="1" applyBorder="1" applyAlignment="1">
      <alignment horizontal="center" vertical="center" wrapText="1" readingOrder="1"/>
    </xf>
    <xf numFmtId="165" fontId="8" fillId="9" borderId="19" xfId="0" applyNumberFormat="1" applyFont="1" applyFill="1" applyBorder="1" applyAlignment="1">
      <alignment horizontal="center" vertical="center"/>
    </xf>
    <xf numFmtId="164" fontId="8" fillId="10" borderId="20" xfId="0" applyNumberFormat="1" applyFont="1" applyFill="1" applyBorder="1" applyAlignment="1">
      <alignment horizontal="center" vertical="center" wrapText="1" readingOrder="1"/>
    </xf>
    <xf numFmtId="164" fontId="8" fillId="10" borderId="21" xfId="0" applyNumberFormat="1" applyFont="1" applyFill="1" applyBorder="1" applyAlignment="1">
      <alignment horizontal="center" vertical="center" wrapText="1" readingOrder="1"/>
    </xf>
    <xf numFmtId="0" fontId="12" fillId="5" borderId="22" xfId="0" applyFont="1" applyFill="1" applyBorder="1" applyAlignment="1">
      <alignment horizontal="left" vertical="center" wrapText="1"/>
    </xf>
    <xf numFmtId="3" fontId="13" fillId="5" borderId="23" xfId="0" applyNumberFormat="1" applyFont="1" applyFill="1" applyBorder="1" applyAlignment="1">
      <alignment horizontal="center" vertical="center" wrapText="1"/>
    </xf>
    <xf numFmtId="3" fontId="14" fillId="11" borderId="23" xfId="0" applyNumberFormat="1" applyFont="1" applyFill="1" applyBorder="1" applyAlignment="1">
      <alignment horizontal="center" vertical="center" wrapText="1"/>
    </xf>
    <xf numFmtId="166" fontId="15" fillId="5" borderId="24" xfId="0" applyNumberFormat="1" applyFont="1" applyFill="1" applyBorder="1" applyAlignment="1">
      <alignment horizontal="center" vertical="center" wrapText="1" readingOrder="1"/>
    </xf>
    <xf numFmtId="166" fontId="15" fillId="5" borderId="25" xfId="0" applyNumberFormat="1" applyFont="1" applyFill="1" applyBorder="1" applyAlignment="1">
      <alignment horizontal="center" vertical="center" wrapText="1" readingOrder="1"/>
    </xf>
    <xf numFmtId="49" fontId="11" fillId="12" borderId="16" xfId="0" applyNumberFormat="1" applyFont="1" applyFill="1" applyBorder="1" applyAlignment="1">
      <alignment horizontal="left" vertical="center" wrapText="1"/>
    </xf>
    <xf numFmtId="166" fontId="16" fillId="12" borderId="0" xfId="0" applyNumberFormat="1" applyFont="1" applyFill="1" applyAlignment="1">
      <alignment horizontal="center" vertical="center"/>
    </xf>
    <xf numFmtId="166" fontId="17" fillId="12" borderId="0" xfId="0" applyNumberFormat="1" applyFont="1" applyFill="1" applyAlignment="1">
      <alignment horizontal="center" vertical="center"/>
    </xf>
    <xf numFmtId="166" fontId="11" fillId="12" borderId="0" xfId="0" applyNumberFormat="1" applyFont="1" applyFill="1" applyAlignment="1">
      <alignment horizontal="center" vertical="center" wrapText="1"/>
    </xf>
    <xf numFmtId="166" fontId="18" fillId="13" borderId="0" xfId="0" applyNumberFormat="1" applyFont="1" applyFill="1" applyAlignment="1">
      <alignment horizontal="center" vertical="center"/>
    </xf>
    <xf numFmtId="166" fontId="11" fillId="12" borderId="9" xfId="0" applyNumberFormat="1" applyFont="1" applyFill="1" applyBorder="1" applyAlignment="1">
      <alignment horizontal="center" vertical="center" wrapText="1" readingOrder="1"/>
    </xf>
    <xf numFmtId="166" fontId="11" fillId="12" borderId="26" xfId="0" applyNumberFormat="1" applyFont="1" applyFill="1" applyBorder="1" applyAlignment="1">
      <alignment horizontal="center" vertical="center" wrapText="1" readingOrder="1"/>
    </xf>
    <xf numFmtId="0" fontId="19" fillId="12" borderId="16" xfId="0" applyFont="1" applyFill="1" applyBorder="1" applyAlignment="1">
      <alignment horizontal="left" vertical="center"/>
    </xf>
    <xf numFmtId="3" fontId="20" fillId="12" borderId="0" xfId="0" applyNumberFormat="1" applyFont="1" applyFill="1" applyAlignment="1">
      <alignment horizontal="center" vertical="center"/>
    </xf>
    <xf numFmtId="3" fontId="21" fillId="13" borderId="0" xfId="0" applyNumberFormat="1" applyFont="1" applyFill="1" applyAlignment="1">
      <alignment horizontal="center" vertical="center"/>
    </xf>
    <xf numFmtId="49" fontId="11" fillId="12" borderId="27" xfId="0" applyNumberFormat="1" applyFont="1" applyFill="1" applyBorder="1" applyAlignment="1">
      <alignment horizontal="left" vertical="center" wrapText="1"/>
    </xf>
    <xf numFmtId="166" fontId="17" fillId="12" borderId="28" xfId="0" applyNumberFormat="1" applyFont="1" applyFill="1" applyBorder="1" applyAlignment="1">
      <alignment horizontal="center" vertical="center"/>
    </xf>
    <xf numFmtId="166" fontId="22" fillId="13" borderId="28" xfId="0" applyNumberFormat="1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horizontal="left" vertical="center" wrapText="1"/>
    </xf>
    <xf numFmtId="3" fontId="12" fillId="5" borderId="28" xfId="0" applyNumberFormat="1" applyFont="1" applyFill="1" applyBorder="1" applyAlignment="1">
      <alignment horizontal="center" vertical="center" wrapText="1"/>
    </xf>
    <xf numFmtId="3" fontId="14" fillId="5" borderId="28" xfId="0" applyNumberFormat="1" applyFont="1" applyFill="1" applyBorder="1" applyAlignment="1">
      <alignment horizontal="center" vertical="center" wrapText="1"/>
    </xf>
    <xf numFmtId="49" fontId="11" fillId="12" borderId="16" xfId="0" applyNumberFormat="1" applyFont="1" applyFill="1" applyBorder="1" applyAlignment="1">
      <alignment horizontal="left" vertical="center"/>
    </xf>
    <xf numFmtId="166" fontId="23" fillId="13" borderId="0" xfId="0" applyNumberFormat="1" applyFont="1" applyFill="1" applyAlignment="1">
      <alignment horizontal="center" vertical="center" wrapText="1"/>
    </xf>
    <xf numFmtId="166" fontId="17" fillId="13" borderId="0" xfId="0" applyNumberFormat="1" applyFont="1" applyFill="1" applyAlignment="1">
      <alignment horizontal="center" vertical="center"/>
    </xf>
    <xf numFmtId="3" fontId="20" fillId="12" borderId="0" xfId="0" applyNumberFormat="1" applyFont="1" applyFill="1" applyAlignment="1">
      <alignment horizontal="center" vertical="center" wrapText="1"/>
    </xf>
    <xf numFmtId="3" fontId="21" fillId="13" borderId="0" xfId="0" applyNumberFormat="1" applyFont="1" applyFill="1" applyAlignment="1">
      <alignment horizontal="center" vertical="center" wrapText="1"/>
    </xf>
    <xf numFmtId="166" fontId="11" fillId="12" borderId="28" xfId="0" applyNumberFormat="1" applyFont="1" applyFill="1" applyBorder="1" applyAlignment="1">
      <alignment horizontal="center" vertical="center" wrapText="1"/>
    </xf>
    <xf numFmtId="166" fontId="18" fillId="13" borderId="28" xfId="0" applyNumberFormat="1" applyFont="1" applyFill="1" applyBorder="1" applyAlignment="1">
      <alignment horizontal="center" vertical="center" wrapText="1"/>
    </xf>
    <xf numFmtId="3" fontId="14" fillId="11" borderId="28" xfId="0" applyNumberFormat="1" applyFont="1" applyFill="1" applyBorder="1" applyAlignment="1">
      <alignment horizontal="center" vertical="center" wrapText="1"/>
    </xf>
    <xf numFmtId="49" fontId="11" fillId="12" borderId="27" xfId="0" applyNumberFormat="1" applyFont="1" applyFill="1" applyBorder="1" applyAlignment="1">
      <alignment horizontal="left" vertical="center"/>
    </xf>
    <xf numFmtId="166" fontId="16" fillId="12" borderId="28" xfId="0" applyNumberFormat="1" applyFont="1" applyFill="1" applyBorder="1" applyAlignment="1">
      <alignment horizontal="center" vertical="center"/>
    </xf>
    <xf numFmtId="166" fontId="24" fillId="13" borderId="28" xfId="0" applyNumberFormat="1" applyFont="1" applyFill="1" applyBorder="1" applyAlignment="1">
      <alignment horizontal="center" vertical="center" wrapText="1"/>
    </xf>
    <xf numFmtId="3" fontId="12" fillId="5" borderId="28" xfId="0" applyNumberFormat="1" applyFont="1" applyFill="1" applyBorder="1" applyAlignment="1">
      <alignment horizontal="center" vertical="center"/>
    </xf>
    <xf numFmtId="166" fontId="15" fillId="5" borderId="29" xfId="0" applyNumberFormat="1" applyFont="1" applyFill="1" applyBorder="1" applyAlignment="1">
      <alignment horizontal="center" vertical="center" wrapText="1" readingOrder="1"/>
    </xf>
    <xf numFmtId="166" fontId="24" fillId="13" borderId="0" xfId="0" applyNumberFormat="1" applyFont="1" applyFill="1" applyAlignment="1">
      <alignment horizontal="center" vertical="center" wrapText="1"/>
    </xf>
    <xf numFmtId="0" fontId="19" fillId="12" borderId="30" xfId="0" applyFont="1" applyFill="1" applyBorder="1" applyAlignment="1">
      <alignment horizontal="left" vertical="center" wrapText="1" readingOrder="1"/>
    </xf>
    <xf numFmtId="3" fontId="20" fillId="12" borderId="31" xfId="0" applyNumberFormat="1" applyFont="1" applyFill="1" applyBorder="1" applyAlignment="1">
      <alignment horizontal="center" vertical="center" wrapText="1"/>
    </xf>
    <xf numFmtId="3" fontId="25" fillId="13" borderId="4" xfId="0" applyNumberFormat="1" applyFont="1" applyFill="1" applyBorder="1" applyAlignment="1">
      <alignment horizontal="center" vertical="center" wrapText="1" readingOrder="1"/>
    </xf>
    <xf numFmtId="166" fontId="19" fillId="12" borderId="9" xfId="0" applyNumberFormat="1" applyFont="1" applyFill="1" applyBorder="1" applyAlignment="1">
      <alignment horizontal="center" vertical="center" wrapText="1" readingOrder="1"/>
    </xf>
    <xf numFmtId="166" fontId="19" fillId="12" borderId="26" xfId="0" applyNumberFormat="1" applyFont="1" applyFill="1" applyBorder="1" applyAlignment="1">
      <alignment horizontal="center" vertical="center" wrapText="1" readingOrder="1"/>
    </xf>
    <xf numFmtId="0" fontId="12" fillId="5" borderId="32" xfId="0" applyFont="1" applyFill="1" applyBorder="1" applyAlignment="1">
      <alignment horizontal="left" vertical="center" wrapText="1" readingOrder="1"/>
    </xf>
    <xf numFmtId="3" fontId="12" fillId="5" borderId="24" xfId="0" applyNumberFormat="1" applyFont="1" applyFill="1" applyBorder="1" applyAlignment="1">
      <alignment horizontal="center" vertical="center" wrapText="1" readingOrder="1"/>
    </xf>
    <xf numFmtId="10" fontId="26" fillId="0" borderId="0" xfId="0" applyNumberFormat="1" applyFont="1" applyAlignment="1">
      <alignment horizontal="right" vertical="top"/>
    </xf>
    <xf numFmtId="0" fontId="19" fillId="12" borderId="16" xfId="0" applyFont="1" applyFill="1" applyBorder="1" applyAlignment="1">
      <alignment horizontal="left" vertical="center" wrapText="1"/>
    </xf>
    <xf numFmtId="3" fontId="27" fillId="13" borderId="0" xfId="0" applyNumberFormat="1" applyFont="1" applyFill="1" applyAlignment="1">
      <alignment horizontal="center" vertical="center" wrapText="1"/>
    </xf>
    <xf numFmtId="0" fontId="28" fillId="0" borderId="0" xfId="0" applyFont="1" applyAlignment="1">
      <alignment vertical="center"/>
    </xf>
    <xf numFmtId="166" fontId="18" fillId="13" borderId="0" xfId="0" applyNumberFormat="1" applyFont="1" applyFill="1" applyAlignment="1">
      <alignment horizontal="center" vertical="center" wrapText="1"/>
    </xf>
    <xf numFmtId="166" fontId="11" fillId="12" borderId="2" xfId="0" applyNumberFormat="1" applyFont="1" applyFill="1" applyBorder="1" applyAlignment="1">
      <alignment horizontal="center" vertical="center" wrapText="1" readingOrder="1"/>
    </xf>
    <xf numFmtId="166" fontId="11" fillId="12" borderId="33" xfId="0" applyNumberFormat="1" applyFont="1" applyFill="1" applyBorder="1" applyAlignment="1">
      <alignment horizontal="center" vertical="center" wrapText="1" readingOrder="1"/>
    </xf>
    <xf numFmtId="3" fontId="25" fillId="13" borderId="34" xfId="0" applyNumberFormat="1" applyFont="1" applyFill="1" applyBorder="1" applyAlignment="1">
      <alignment horizontal="center" vertical="center" wrapText="1" readingOrder="1"/>
    </xf>
    <xf numFmtId="3" fontId="19" fillId="12" borderId="9" xfId="0" applyNumberFormat="1" applyFont="1" applyFill="1" applyBorder="1" applyAlignment="1">
      <alignment horizontal="center" vertical="center" wrapText="1" readingOrder="1"/>
    </xf>
    <xf numFmtId="3" fontId="19" fillId="12" borderId="26" xfId="0" applyNumberFormat="1" applyFont="1" applyFill="1" applyBorder="1" applyAlignment="1">
      <alignment horizontal="center" vertical="center" wrapText="1" readingOrder="1"/>
    </xf>
    <xf numFmtId="49" fontId="11" fillId="12" borderId="30" xfId="0" applyNumberFormat="1" applyFont="1" applyFill="1" applyBorder="1" applyAlignment="1">
      <alignment horizontal="left" vertical="center" wrapText="1" readingOrder="1"/>
    </xf>
    <xf numFmtId="166" fontId="11" fillId="12" borderId="4" xfId="0" applyNumberFormat="1" applyFont="1" applyFill="1" applyBorder="1" applyAlignment="1">
      <alignment horizontal="center" vertical="center" wrapText="1" readingOrder="1"/>
    </xf>
    <xf numFmtId="166" fontId="29" fillId="13" borderId="4" xfId="0" applyNumberFormat="1" applyFont="1" applyFill="1" applyBorder="1" applyAlignment="1">
      <alignment horizontal="center" vertical="center" wrapText="1" readingOrder="1"/>
    </xf>
    <xf numFmtId="3" fontId="30" fillId="0" borderId="0" xfId="0" applyNumberFormat="1" applyFont="1" applyAlignment="1">
      <alignment vertical="center"/>
    </xf>
    <xf numFmtId="0" fontId="11" fillId="12" borderId="30" xfId="0" applyFont="1" applyFill="1" applyBorder="1" applyAlignment="1">
      <alignment horizontal="left" vertical="center" wrapText="1" readingOrder="1"/>
    </xf>
    <xf numFmtId="3" fontId="31" fillId="12" borderId="0" xfId="0" applyNumberFormat="1" applyFont="1" applyFill="1" applyAlignment="1">
      <alignment horizontal="center" vertical="center" wrapText="1"/>
    </xf>
    <xf numFmtId="3" fontId="32" fillId="13" borderId="4" xfId="0" applyNumberFormat="1" applyFont="1" applyFill="1" applyBorder="1" applyAlignment="1">
      <alignment horizontal="center" vertical="center" wrapText="1" readingOrder="1"/>
    </xf>
    <xf numFmtId="3" fontId="32" fillId="13" borderId="34" xfId="0" applyNumberFormat="1" applyFont="1" applyFill="1" applyBorder="1" applyAlignment="1">
      <alignment horizontal="center" vertical="center" wrapText="1" readingOrder="1"/>
    </xf>
    <xf numFmtId="166" fontId="11" fillId="12" borderId="35" xfId="0" applyNumberFormat="1" applyFont="1" applyFill="1" applyBorder="1" applyAlignment="1">
      <alignment horizontal="center" vertical="center" wrapText="1" readingOrder="1"/>
    </xf>
    <xf numFmtId="3" fontId="19" fillId="12" borderId="4" xfId="0" applyNumberFormat="1" applyFont="1" applyFill="1" applyBorder="1" applyAlignment="1">
      <alignment horizontal="center" vertical="center" wrapText="1" readingOrder="1"/>
    </xf>
    <xf numFmtId="3" fontId="12" fillId="12" borderId="9" xfId="0" applyNumberFormat="1" applyFont="1" applyFill="1" applyBorder="1" applyAlignment="1">
      <alignment horizontal="center" vertical="center" wrapText="1" readingOrder="1"/>
    </xf>
    <xf numFmtId="3" fontId="12" fillId="12" borderId="26" xfId="0" applyNumberFormat="1" applyFont="1" applyFill="1" applyBorder="1" applyAlignment="1">
      <alignment horizontal="center" vertical="center" wrapText="1" readingOrder="1"/>
    </xf>
    <xf numFmtId="0" fontId="33" fillId="0" borderId="0" xfId="0" applyFont="1" applyAlignment="1">
      <alignment vertical="center" textRotation="90"/>
    </xf>
    <xf numFmtId="3" fontId="12" fillId="5" borderId="36" xfId="0" applyNumberFormat="1" applyFont="1" applyFill="1" applyBorder="1" applyAlignment="1">
      <alignment horizontal="center" vertical="center" wrapText="1" readingOrder="1"/>
    </xf>
    <xf numFmtId="3" fontId="12" fillId="11" borderId="24" xfId="0" applyNumberFormat="1" applyFont="1" applyFill="1" applyBorder="1" applyAlignment="1">
      <alignment horizontal="center" vertical="center" wrapText="1" readingOrder="1"/>
    </xf>
    <xf numFmtId="166" fontId="12" fillId="12" borderId="4" xfId="0" applyNumberFormat="1" applyFont="1" applyFill="1" applyBorder="1" applyAlignment="1">
      <alignment horizontal="center" vertical="center" wrapText="1" readingOrder="1"/>
    </xf>
    <xf numFmtId="3" fontId="19" fillId="12" borderId="35" xfId="0" applyNumberFormat="1" applyFont="1" applyFill="1" applyBorder="1" applyAlignment="1">
      <alignment horizontal="center" vertical="center" wrapText="1" readingOrder="1"/>
    </xf>
    <xf numFmtId="10" fontId="25" fillId="13" borderId="4" xfId="0" applyNumberFormat="1" applyFont="1" applyFill="1" applyBorder="1" applyAlignment="1">
      <alignment horizontal="center" vertical="center" wrapText="1" readingOrder="1"/>
    </xf>
    <xf numFmtId="10" fontId="25" fillId="13" borderId="34" xfId="0" applyNumberFormat="1" applyFont="1" applyFill="1" applyBorder="1" applyAlignment="1">
      <alignment horizontal="center" vertical="center" wrapText="1" readingOrder="1"/>
    </xf>
    <xf numFmtId="167" fontId="25" fillId="13" borderId="4" xfId="0" applyNumberFormat="1" applyFont="1" applyFill="1" applyBorder="1" applyAlignment="1">
      <alignment horizontal="center" vertical="center" wrapText="1" readingOrder="1"/>
    </xf>
    <xf numFmtId="167" fontId="25" fillId="13" borderId="34" xfId="0" applyNumberFormat="1" applyFont="1" applyFill="1" applyBorder="1" applyAlignment="1">
      <alignment horizontal="center" vertical="center" wrapText="1" readingOrder="1"/>
    </xf>
    <xf numFmtId="4" fontId="25" fillId="13" borderId="4" xfId="0" applyNumberFormat="1" applyFont="1" applyFill="1" applyBorder="1" applyAlignment="1">
      <alignment horizontal="center" vertical="center" wrapText="1" readingOrder="1"/>
    </xf>
    <xf numFmtId="4" fontId="25" fillId="13" borderId="34" xfId="0" applyNumberFormat="1" applyFont="1" applyFill="1" applyBorder="1" applyAlignment="1">
      <alignment horizontal="center" vertical="center" wrapText="1" readingOrder="1"/>
    </xf>
    <xf numFmtId="0" fontId="12" fillId="5" borderId="37" xfId="0" applyFont="1" applyFill="1" applyBorder="1" applyAlignment="1">
      <alignment horizontal="left" vertical="center" wrapText="1" readingOrder="1"/>
    </xf>
    <xf numFmtId="3" fontId="12" fillId="5" borderId="38" xfId="0" applyNumberFormat="1" applyFont="1" applyFill="1" applyBorder="1" applyAlignment="1">
      <alignment horizontal="center" vertical="center" wrapText="1" readingOrder="1"/>
    </xf>
    <xf numFmtId="3" fontId="12" fillId="5" borderId="39" xfId="0" applyNumberFormat="1" applyFont="1" applyFill="1" applyBorder="1" applyAlignment="1">
      <alignment horizontal="center" vertical="center" wrapText="1" readingOrder="1"/>
    </xf>
    <xf numFmtId="3" fontId="12" fillId="11" borderId="38" xfId="0" applyNumberFormat="1" applyFont="1" applyFill="1" applyBorder="1" applyAlignment="1">
      <alignment horizontal="center" vertical="center" wrapText="1" readingOrder="1"/>
    </xf>
    <xf numFmtId="3" fontId="12" fillId="11" borderId="40" xfId="0" applyNumberFormat="1" applyFont="1" applyFill="1" applyBorder="1" applyAlignment="1">
      <alignment horizontal="center" vertical="center" wrapText="1" readingOrder="1"/>
    </xf>
    <xf numFmtId="166" fontId="11" fillId="12" borderId="41" xfId="0" applyNumberFormat="1" applyFont="1" applyFill="1" applyBorder="1" applyAlignment="1">
      <alignment horizontal="center" vertical="center" wrapText="1" readingOrder="1"/>
    </xf>
    <xf numFmtId="166" fontId="11" fillId="12" borderId="42" xfId="0" applyNumberFormat="1" applyFont="1" applyFill="1" applyBorder="1" applyAlignment="1">
      <alignment horizontal="center" vertical="center" wrapText="1" readingOrder="1"/>
    </xf>
    <xf numFmtId="0" fontId="19" fillId="0" borderId="0" xfId="0" applyFont="1" applyAlignment="1">
      <alignment horizontal="left" vertical="center" wrapText="1" readingOrder="1"/>
    </xf>
    <xf numFmtId="3" fontId="19" fillId="0" borderId="0" xfId="0" applyNumberFormat="1" applyFont="1" applyAlignment="1">
      <alignment horizontal="right" vertical="center" wrapText="1" readingOrder="1"/>
    </xf>
    <xf numFmtId="3" fontId="12" fillId="0" borderId="0" xfId="0" applyNumberFormat="1" applyFont="1" applyAlignment="1">
      <alignment horizontal="right" vertical="center" wrapText="1" readingOrder="1"/>
    </xf>
    <xf numFmtId="49" fontId="8" fillId="7" borderId="11" xfId="0" applyNumberFormat="1" applyFont="1" applyFill="1" applyBorder="1" applyAlignment="1">
      <alignment vertical="center"/>
    </xf>
    <xf numFmtId="0" fontId="7" fillId="7" borderId="43" xfId="0" applyFont="1" applyFill="1" applyBorder="1" applyAlignment="1">
      <alignment vertical="center"/>
    </xf>
    <xf numFmtId="49" fontId="8" fillId="7" borderId="44" xfId="0" applyNumberFormat="1" applyFont="1" applyFill="1" applyBorder="1" applyAlignment="1">
      <alignment vertical="center"/>
    </xf>
    <xf numFmtId="0" fontId="7" fillId="7" borderId="45" xfId="0" applyFont="1" applyFill="1" applyBorder="1" applyAlignment="1">
      <alignment vertical="center"/>
    </xf>
    <xf numFmtId="0" fontId="7" fillId="7" borderId="46" xfId="0" applyFont="1" applyFill="1" applyBorder="1" applyAlignment="1">
      <alignment vertical="center"/>
    </xf>
    <xf numFmtId="49" fontId="34" fillId="7" borderId="47" xfId="0" applyNumberFormat="1" applyFont="1" applyFill="1" applyBorder="1"/>
    <xf numFmtId="0" fontId="35" fillId="7" borderId="48" xfId="0" applyFont="1" applyFill="1" applyBorder="1"/>
    <xf numFmtId="49" fontId="35" fillId="7" borderId="48" xfId="0" applyNumberFormat="1" applyFont="1" applyFill="1" applyBorder="1"/>
    <xf numFmtId="0" fontId="35" fillId="7" borderId="49" xfId="0" applyFont="1" applyFill="1" applyBorder="1"/>
    <xf numFmtId="0" fontId="19" fillId="13" borderId="30" xfId="0" applyFont="1" applyFill="1" applyBorder="1" applyAlignment="1">
      <alignment horizontal="left" vertical="center" wrapText="1" readingOrder="1"/>
    </xf>
    <xf numFmtId="3" fontId="25" fillId="13" borderId="50" xfId="0" applyNumberFormat="1" applyFont="1" applyFill="1" applyBorder="1" applyAlignment="1">
      <alignment horizontal="center" vertical="center" wrapText="1" readingOrder="1"/>
    </xf>
    <xf numFmtId="0" fontId="19" fillId="13" borderId="51" xfId="0" applyFont="1" applyFill="1" applyBorder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35" fillId="13" borderId="16" xfId="0" applyFont="1" applyFill="1" applyBorder="1"/>
    <xf numFmtId="0" fontId="35" fillId="13" borderId="0" xfId="0" applyFont="1" applyFill="1"/>
    <xf numFmtId="0" fontId="14" fillId="13" borderId="0" xfId="0" applyFont="1" applyFill="1" applyAlignment="1">
      <alignment horizontal="center"/>
    </xf>
    <xf numFmtId="0" fontId="35" fillId="13" borderId="52" xfId="0" applyFont="1" applyFill="1" applyBorder="1"/>
    <xf numFmtId="166" fontId="19" fillId="13" borderId="53" xfId="0" applyNumberFormat="1" applyFont="1" applyFill="1" applyBorder="1" applyAlignment="1">
      <alignment horizontal="center" vertical="center"/>
    </xf>
    <xf numFmtId="166" fontId="21" fillId="13" borderId="0" xfId="0" applyNumberFormat="1" applyFont="1" applyFill="1" applyAlignment="1">
      <alignment horizontal="center"/>
    </xf>
    <xf numFmtId="166" fontId="21" fillId="13" borderId="52" xfId="0" applyNumberFormat="1" applyFont="1" applyFill="1" applyBorder="1" applyAlignment="1">
      <alignment horizontal="center"/>
    </xf>
    <xf numFmtId="3" fontId="25" fillId="13" borderId="26" xfId="0" applyNumberFormat="1" applyFont="1" applyFill="1" applyBorder="1" applyAlignment="1">
      <alignment horizontal="center" vertical="center" wrapText="1" readingOrder="1"/>
    </xf>
    <xf numFmtId="3" fontId="12" fillId="11" borderId="54" xfId="0" applyNumberFormat="1" applyFont="1" applyFill="1" applyBorder="1" applyAlignment="1">
      <alignment horizontal="left" vertical="center" readingOrder="1"/>
    </xf>
    <xf numFmtId="10" fontId="12" fillId="11" borderId="55" xfId="0" applyNumberFormat="1" applyFont="1" applyFill="1" applyBorder="1" applyAlignment="1">
      <alignment horizontal="center" vertical="center"/>
    </xf>
    <xf numFmtId="168" fontId="21" fillId="14" borderId="0" xfId="0" applyNumberFormat="1" applyFont="1" applyFill="1" applyAlignment="1">
      <alignment horizontal="center"/>
    </xf>
    <xf numFmtId="168" fontId="21" fillId="15" borderId="0" xfId="0" applyNumberFormat="1" applyFont="1" applyFill="1" applyAlignment="1">
      <alignment horizontal="center"/>
    </xf>
    <xf numFmtId="168" fontId="21" fillId="16" borderId="0" xfId="0" applyNumberFormat="1" applyFont="1" applyFill="1" applyAlignment="1">
      <alignment horizontal="center"/>
    </xf>
    <xf numFmtId="168" fontId="21" fillId="17" borderId="0" xfId="0" applyNumberFormat="1" applyFont="1" applyFill="1" applyAlignment="1">
      <alignment horizontal="center"/>
    </xf>
    <xf numFmtId="168" fontId="21" fillId="18" borderId="52" xfId="0" applyNumberFormat="1" applyFont="1" applyFill="1" applyBorder="1" applyAlignment="1">
      <alignment horizontal="center"/>
    </xf>
    <xf numFmtId="4" fontId="25" fillId="13" borderId="26" xfId="0" applyNumberFormat="1" applyFont="1" applyFill="1" applyBorder="1" applyAlignment="1">
      <alignment horizontal="center" vertical="center" wrapText="1" readingOrder="1"/>
    </xf>
    <xf numFmtId="168" fontId="21" fillId="19" borderId="0" xfId="0" applyNumberFormat="1" applyFont="1" applyFill="1" applyAlignment="1">
      <alignment horizontal="center"/>
    </xf>
    <xf numFmtId="168" fontId="21" fillId="20" borderId="0" xfId="0" applyNumberFormat="1" applyFont="1" applyFill="1" applyAlignment="1">
      <alignment horizontal="center"/>
    </xf>
    <xf numFmtId="168" fontId="21" fillId="21" borderId="56" xfId="0" applyNumberFormat="1" applyFont="1" applyFill="1" applyBorder="1" applyAlignment="1">
      <alignment horizontal="center"/>
    </xf>
    <xf numFmtId="168" fontId="21" fillId="22" borderId="0" xfId="0" applyNumberFormat="1" applyFont="1" applyFill="1" applyAlignment="1">
      <alignment horizontal="center"/>
    </xf>
    <xf numFmtId="168" fontId="21" fillId="23" borderId="52" xfId="0" applyNumberFormat="1" applyFont="1" applyFill="1" applyBorder="1" applyAlignment="1">
      <alignment horizontal="center"/>
    </xf>
    <xf numFmtId="167" fontId="25" fillId="13" borderId="26" xfId="0" applyNumberFormat="1" applyFont="1" applyFill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168" fontId="21" fillId="24" borderId="0" xfId="0" applyNumberFormat="1" applyFont="1" applyFill="1" applyAlignment="1">
      <alignment horizontal="center"/>
    </xf>
    <xf numFmtId="168" fontId="21" fillId="25" borderId="52" xfId="0" applyNumberFormat="1" applyFont="1" applyFill="1" applyBorder="1" applyAlignment="1">
      <alignment horizontal="center"/>
    </xf>
    <xf numFmtId="168" fontId="21" fillId="26" borderId="57" xfId="0" applyNumberFormat="1" applyFont="1" applyFill="1" applyBorder="1" applyAlignment="1">
      <alignment horizontal="center"/>
    </xf>
    <xf numFmtId="168" fontId="21" fillId="27" borderId="0" xfId="0" applyNumberFormat="1" applyFont="1" applyFill="1" applyAlignment="1">
      <alignment horizontal="center"/>
    </xf>
    <xf numFmtId="168" fontId="21" fillId="28" borderId="52" xfId="0" applyNumberFormat="1" applyFont="1" applyFill="1" applyBorder="1" applyAlignment="1">
      <alignment horizontal="center"/>
    </xf>
    <xf numFmtId="0" fontId="19" fillId="13" borderId="58" xfId="0" applyFont="1" applyFill="1" applyBorder="1" applyAlignment="1">
      <alignment horizontal="left" vertical="center" wrapText="1" readingOrder="1"/>
    </xf>
    <xf numFmtId="4" fontId="25" fillId="13" borderId="33" xfId="0" applyNumberFormat="1" applyFont="1" applyFill="1" applyBorder="1" applyAlignment="1">
      <alignment horizontal="center" vertical="center" wrapText="1" readingOrder="1"/>
    </xf>
    <xf numFmtId="168" fontId="21" fillId="29" borderId="0" xfId="0" applyNumberFormat="1" applyFont="1" applyFill="1" applyAlignment="1">
      <alignment horizontal="center"/>
    </xf>
    <xf numFmtId="168" fontId="21" fillId="30" borderId="0" xfId="0" applyNumberFormat="1" applyFont="1" applyFill="1" applyAlignment="1">
      <alignment horizontal="center"/>
    </xf>
    <xf numFmtId="168" fontId="21" fillId="31" borderId="0" xfId="0" applyNumberFormat="1" applyFont="1" applyFill="1" applyAlignment="1">
      <alignment horizontal="center"/>
    </xf>
    <xf numFmtId="168" fontId="21" fillId="32" borderId="0" xfId="0" applyNumberFormat="1" applyFont="1" applyFill="1" applyAlignment="1">
      <alignment horizontal="center"/>
    </xf>
    <xf numFmtId="168" fontId="21" fillId="33" borderId="52" xfId="0" applyNumberFormat="1" applyFont="1" applyFill="1" applyBorder="1" applyAlignment="1">
      <alignment horizontal="center"/>
    </xf>
    <xf numFmtId="0" fontId="12" fillId="11" borderId="37" xfId="0" applyFont="1" applyFill="1" applyBorder="1" applyAlignment="1">
      <alignment horizontal="left" vertical="center" wrapText="1" readingOrder="1"/>
    </xf>
    <xf numFmtId="3" fontId="36" fillId="11" borderId="59" xfId="0" applyNumberFormat="1" applyFont="1" applyFill="1" applyBorder="1" applyAlignment="1">
      <alignment horizontal="center" vertical="center" wrapText="1" readingOrder="1"/>
    </xf>
    <xf numFmtId="0" fontId="35" fillId="13" borderId="60" xfId="0" applyFont="1" applyFill="1" applyBorder="1"/>
    <xf numFmtId="166" fontId="21" fillId="13" borderId="56" xfId="0" applyNumberFormat="1" applyFont="1" applyFill="1" applyBorder="1" applyAlignment="1">
      <alignment horizontal="center"/>
    </xf>
    <xf numFmtId="168" fontId="21" fillId="34" borderId="56" xfId="0" applyNumberFormat="1" applyFont="1" applyFill="1" applyBorder="1" applyAlignment="1">
      <alignment horizontal="center"/>
    </xf>
    <xf numFmtId="168" fontId="21" fillId="35" borderId="56" xfId="0" applyNumberFormat="1" applyFont="1" applyFill="1" applyBorder="1" applyAlignment="1">
      <alignment horizontal="center"/>
    </xf>
    <xf numFmtId="168" fontId="21" fillId="36" borderId="56" xfId="0" applyNumberFormat="1" applyFont="1" applyFill="1" applyBorder="1" applyAlignment="1">
      <alignment horizontal="center"/>
    </xf>
    <xf numFmtId="168" fontId="21" fillId="37" borderId="56" xfId="0" applyNumberFormat="1" applyFont="1" applyFill="1" applyBorder="1" applyAlignment="1">
      <alignment horizontal="center"/>
    </xf>
    <xf numFmtId="168" fontId="21" fillId="3" borderId="57" xfId="0" applyNumberFormat="1" applyFont="1" applyFill="1" applyBorder="1" applyAlignment="1">
      <alignment horizontal="center"/>
    </xf>
    <xf numFmtId="0" fontId="12" fillId="11" borderId="61" xfId="0" applyFont="1" applyFill="1" applyBorder="1" applyAlignment="1">
      <alignment horizontal="left" vertical="center" wrapText="1" readingOrder="1"/>
    </xf>
    <xf numFmtId="3" fontId="36" fillId="11" borderId="62" xfId="0" applyNumberFormat="1" applyFont="1" applyFill="1" applyBorder="1" applyAlignment="1">
      <alignment horizontal="center" vertical="center" wrapText="1" readingOrder="1"/>
    </xf>
    <xf numFmtId="166" fontId="19" fillId="0" borderId="0" xfId="0" applyNumberFormat="1" applyFont="1" applyAlignment="1">
      <alignment horizontal="right" vertical="center" wrapText="1" readingOrder="1"/>
    </xf>
    <xf numFmtId="0" fontId="19" fillId="13" borderId="63" xfId="0" applyFont="1" applyFill="1" applyBorder="1" applyAlignment="1">
      <alignment horizontal="left" vertical="center" wrapText="1" readingOrder="1"/>
    </xf>
    <xf numFmtId="3" fontId="12" fillId="11" borderId="64" xfId="0" applyNumberFormat="1" applyFont="1" applyFill="1" applyBorder="1" applyAlignment="1">
      <alignment horizontal="left" vertical="center" wrapText="1" readingOrder="1"/>
    </xf>
    <xf numFmtId="3" fontId="12" fillId="11" borderId="65" xfId="0" applyNumberFormat="1" applyFont="1" applyFill="1" applyBorder="1" applyAlignment="1">
      <alignment horizontal="center" vertical="center" wrapText="1" readingOrder="1"/>
    </xf>
    <xf numFmtId="10" fontId="12" fillId="11" borderId="6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11" borderId="32" xfId="0" applyFont="1" applyFill="1" applyBorder="1" applyAlignment="1">
      <alignment horizontal="left" vertical="center" wrapText="1" readingOrder="1"/>
    </xf>
    <xf numFmtId="3" fontId="36" fillId="11" borderId="25" xfId="0" applyNumberFormat="1" applyFont="1" applyFill="1" applyBorder="1" applyAlignment="1">
      <alignment horizontal="center" vertical="center" wrapText="1" readingOrder="1"/>
    </xf>
    <xf numFmtId="3" fontId="37" fillId="0" borderId="0" xfId="0" applyNumberFormat="1" applyFont="1" applyAlignment="1">
      <alignment vertical="center"/>
    </xf>
    <xf numFmtId="0" fontId="19" fillId="13" borderId="67" xfId="0" applyFont="1" applyFill="1" applyBorder="1" applyAlignment="1">
      <alignment horizontal="left" vertical="center" wrapText="1" readingOrder="1"/>
    </xf>
    <xf numFmtId="0" fontId="8" fillId="0" borderId="0" xfId="0" applyFont="1" applyAlignment="1">
      <alignment vertical="center" textRotation="90"/>
    </xf>
    <xf numFmtId="168" fontId="36" fillId="11" borderId="25" xfId="0" applyNumberFormat="1" applyFont="1" applyFill="1" applyBorder="1" applyAlignment="1">
      <alignment horizontal="center" vertical="center" wrapText="1" readingOrder="1"/>
    </xf>
    <xf numFmtId="168" fontId="25" fillId="13" borderId="68" xfId="0" applyNumberFormat="1" applyFont="1" applyFill="1" applyBorder="1" applyAlignment="1">
      <alignment horizontal="center" vertical="center" wrapText="1" readingOrder="1"/>
    </xf>
    <xf numFmtId="0" fontId="38" fillId="0" borderId="0" xfId="0" applyFont="1" applyAlignment="1">
      <alignment horizontal="left"/>
    </xf>
    <xf numFmtId="0" fontId="19" fillId="13" borderId="60" xfId="0" applyFont="1" applyFill="1" applyBorder="1" applyAlignment="1">
      <alignment horizontal="left" vertical="center" wrapText="1" readingOrder="1"/>
    </xf>
    <xf numFmtId="166" fontId="19" fillId="13" borderId="69" xfId="0" applyNumberFormat="1" applyFont="1" applyFill="1" applyBorder="1" applyAlignment="1">
      <alignment horizontal="center" vertical="center"/>
    </xf>
    <xf numFmtId="167" fontId="31" fillId="12" borderId="31" xfId="0" applyNumberFormat="1" applyFont="1" applyFill="1" applyBorder="1" applyAlignment="1">
      <alignment horizontal="center" vertical="center" wrapText="1"/>
    </xf>
    <xf numFmtId="4" fontId="20" fillId="13" borderId="50" xfId="0" applyNumberFormat="1" applyFont="1" applyFill="1" applyBorder="1" applyAlignment="1">
      <alignment horizontal="center" vertical="center" wrapText="1" readingOrder="1"/>
    </xf>
    <xf numFmtId="10" fontId="20" fillId="13" borderId="53" xfId="0" applyNumberFormat="1" applyFont="1" applyFill="1" applyBorder="1" applyAlignment="1">
      <alignment horizontal="center" vertical="center"/>
    </xf>
    <xf numFmtId="4" fontId="20" fillId="13" borderId="26" xfId="0" applyNumberFormat="1" applyFont="1" applyFill="1" applyBorder="1" applyAlignment="1">
      <alignment horizontal="center" vertical="center" wrapText="1" readingOrder="1"/>
    </xf>
    <xf numFmtId="166" fontId="20" fillId="13" borderId="52" xfId="0" applyNumberFormat="1" applyFont="1" applyFill="1" applyBorder="1" applyAlignment="1">
      <alignment horizontal="center" vertical="center"/>
    </xf>
    <xf numFmtId="3" fontId="20" fillId="13" borderId="26" xfId="0" applyNumberFormat="1" applyFont="1" applyFill="1" applyBorder="1" applyAlignment="1">
      <alignment horizontal="center" vertical="center" wrapText="1" readingOrder="1"/>
    </xf>
    <xf numFmtId="3" fontId="20" fillId="13" borderId="50" xfId="0" applyNumberFormat="1" applyFont="1" applyFill="1" applyBorder="1" applyAlignment="1">
      <alignment horizontal="center" vertical="center" wrapText="1" readingOrder="1"/>
    </xf>
    <xf numFmtId="3" fontId="20" fillId="13" borderId="68" xfId="0" applyNumberFormat="1" applyFont="1" applyFill="1" applyBorder="1" applyAlignment="1">
      <alignment horizontal="center" vertical="center" wrapText="1" readingOrder="1"/>
    </xf>
    <xf numFmtId="3" fontId="20" fillId="13" borderId="33" xfId="0" applyNumberFormat="1" applyFont="1" applyFill="1" applyBorder="1" applyAlignment="1">
      <alignment horizontal="center" vertical="center" wrapText="1" readingOrder="1"/>
    </xf>
    <xf numFmtId="0" fontId="1" fillId="2" borderId="34" xfId="0" applyFont="1" applyFill="1" applyBorder="1" applyAlignment="1">
      <alignment vertical="center"/>
    </xf>
    <xf numFmtId="3" fontId="19" fillId="12" borderId="34" xfId="0" applyNumberFormat="1" applyFont="1" applyFill="1" applyBorder="1" applyAlignment="1">
      <alignment horizontal="center" vertical="center" wrapText="1" readingOrder="1"/>
    </xf>
    <xf numFmtId="165" fontId="8" fillId="9" borderId="34" xfId="0" applyNumberFormat="1" applyFont="1" applyFill="1" applyBorder="1" applyAlignment="1">
      <alignment horizontal="center" vertical="center"/>
    </xf>
    <xf numFmtId="166" fontId="11" fillId="12" borderId="34" xfId="0" applyNumberFormat="1" applyFont="1" applyFill="1" applyBorder="1" applyAlignment="1">
      <alignment horizontal="center" vertical="center" wrapText="1" readingOrder="1"/>
    </xf>
    <xf numFmtId="166" fontId="19" fillId="12" borderId="34" xfId="0" applyNumberFormat="1" applyFont="1" applyFill="1" applyBorder="1" applyAlignment="1">
      <alignment horizontal="center" vertical="center" wrapText="1" readingOrder="1"/>
    </xf>
    <xf numFmtId="3" fontId="12" fillId="12" borderId="34" xfId="0" applyNumberFormat="1" applyFont="1" applyFill="1" applyBorder="1" applyAlignment="1">
      <alignment horizontal="center" vertical="center" wrapText="1" readingOrder="1"/>
    </xf>
    <xf numFmtId="0" fontId="8" fillId="8" borderId="34" xfId="0" applyFont="1" applyFill="1" applyBorder="1" applyAlignment="1">
      <alignment horizontal="left" vertical="center" wrapText="1" readingOrder="1"/>
    </xf>
    <xf numFmtId="164" fontId="8" fillId="10" borderId="34" xfId="0" applyNumberFormat="1" applyFont="1" applyFill="1" applyBorder="1" applyAlignment="1">
      <alignment horizontal="center" vertical="center" wrapText="1" readingOrder="1"/>
    </xf>
    <xf numFmtId="166" fontId="15" fillId="5" borderId="34" xfId="0" applyNumberFormat="1" applyFont="1" applyFill="1" applyBorder="1" applyAlignment="1">
      <alignment horizontal="center" vertical="center" wrapText="1" readingOrder="1"/>
    </xf>
    <xf numFmtId="166" fontId="11" fillId="12" borderId="70" xfId="0" applyNumberFormat="1" applyFont="1" applyFill="1" applyBorder="1" applyAlignment="1">
      <alignment horizontal="center" vertical="center" wrapText="1" readingOrder="1"/>
    </xf>
    <xf numFmtId="168" fontId="21" fillId="0" borderId="34" xfId="0" applyNumberFormat="1" applyFont="1" applyFill="1" applyBorder="1" applyAlignment="1">
      <alignment horizontal="center"/>
    </xf>
    <xf numFmtId="0" fontId="35" fillId="0" borderId="34" xfId="0" applyFont="1" applyFill="1" applyBorder="1"/>
    <xf numFmtId="49" fontId="35" fillId="0" borderId="34" xfId="0" applyNumberFormat="1" applyFont="1" applyFill="1" applyBorder="1"/>
    <xf numFmtId="0" fontId="14" fillId="0" borderId="34" xfId="0" applyFont="1" applyFill="1" applyBorder="1" applyAlignment="1">
      <alignment horizontal="center"/>
    </xf>
    <xf numFmtId="166" fontId="21" fillId="0" borderId="34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  <color rgb="FFCC0000"/>
      </font>
      <fill>
        <patternFill patternType="solid">
          <fgColor rgb="FFF4CCCC"/>
          <bgColor rgb="FFF4CCCC"/>
        </patternFill>
      </fill>
    </dxf>
    <dxf>
      <font>
        <b/>
        <color rgb="FF38761D"/>
      </font>
      <fill>
        <patternFill patternType="solid">
          <fgColor rgb="FFB7E1CD"/>
          <bgColor rgb="FFB7E1CD"/>
        </patternFill>
      </fill>
    </dxf>
    <dxf>
      <font>
        <b/>
        <color rgb="FFCC0000"/>
      </font>
      <fill>
        <patternFill patternType="solid">
          <fgColor rgb="FFF4CCCC"/>
          <bgColor rgb="FFF4CCCC"/>
        </patternFill>
      </fill>
    </dxf>
    <dxf>
      <font>
        <b/>
        <color rgb="FF38761D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U54"/>
  <sheetViews>
    <sheetView showGridLines="0" tabSelected="1" topLeftCell="B9" zoomScale="125" zoomScaleNormal="125" workbookViewId="0">
      <selection activeCell="L23" sqref="L23"/>
    </sheetView>
  </sheetViews>
  <sheetFormatPr baseColWidth="10" defaultColWidth="14.5" defaultRowHeight="15" customHeight="1"/>
  <cols>
    <col min="1" max="1" width="3.33203125" customWidth="1"/>
    <col min="2" max="2" width="41.33203125" customWidth="1"/>
    <col min="3" max="3" width="14.1640625" customWidth="1"/>
    <col min="4" max="6" width="9.83203125" customWidth="1"/>
    <col min="7" max="7" width="10.83203125" customWidth="1"/>
    <col min="8" max="21" width="9.83203125" customWidth="1"/>
  </cols>
  <sheetData>
    <row r="1" spans="1:21" ht="16.5" customHeight="1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24" customHeight="1">
      <c r="A2" s="1"/>
      <c r="B2" s="5" t="s">
        <v>59</v>
      </c>
      <c r="C2" s="6"/>
      <c r="D2" s="7"/>
      <c r="E2" s="8"/>
      <c r="F2" s="8"/>
      <c r="G2" s="8"/>
      <c r="H2" s="8"/>
      <c r="I2" s="8"/>
      <c r="J2" s="8"/>
      <c r="K2" s="8"/>
      <c r="L2" s="205"/>
      <c r="M2" s="205"/>
      <c r="N2" s="205"/>
      <c r="O2" s="205"/>
      <c r="P2" s="205"/>
      <c r="Q2" s="9"/>
      <c r="R2" s="9"/>
      <c r="S2" s="205"/>
      <c r="T2" s="9"/>
      <c r="U2" s="4"/>
    </row>
    <row r="3" spans="1:21" ht="18" customHeight="1">
      <c r="A3" s="1"/>
      <c r="B3" s="10" t="s">
        <v>0</v>
      </c>
      <c r="C3" s="11"/>
      <c r="D3" s="12"/>
      <c r="E3" s="13"/>
      <c r="F3" s="14"/>
      <c r="G3" s="13"/>
      <c r="H3" s="13"/>
      <c r="I3" s="13"/>
      <c r="J3" s="13"/>
      <c r="K3" s="14"/>
      <c r="L3" s="205"/>
      <c r="M3" s="205"/>
      <c r="N3" s="205"/>
      <c r="O3" s="205"/>
      <c r="P3" s="205"/>
      <c r="Q3" s="15"/>
      <c r="R3" s="9"/>
      <c r="S3" s="205"/>
      <c r="T3" s="4"/>
      <c r="U3" s="4"/>
    </row>
    <row r="4" spans="1:21" ht="19.5" customHeight="1">
      <c r="A4" s="1"/>
      <c r="B4" s="16" t="s">
        <v>58</v>
      </c>
      <c r="C4" s="11"/>
      <c r="D4" s="12"/>
      <c r="E4" s="13"/>
      <c r="F4" s="14"/>
      <c r="G4" s="13"/>
      <c r="H4" s="13"/>
      <c r="I4" s="13"/>
      <c r="J4" s="13"/>
      <c r="K4" s="14"/>
      <c r="L4" s="205"/>
      <c r="M4" s="205"/>
      <c r="N4" s="205"/>
      <c r="O4" s="205"/>
      <c r="P4" s="205"/>
      <c r="Q4" s="17"/>
      <c r="R4" s="8"/>
      <c r="S4" s="205"/>
      <c r="T4" s="4"/>
      <c r="U4" s="4"/>
    </row>
    <row r="5" spans="1:21" ht="15" customHeight="1">
      <c r="A5" s="1"/>
      <c r="B5" s="18"/>
      <c r="C5" s="12"/>
      <c r="D5" s="12"/>
      <c r="E5" s="13"/>
      <c r="F5" s="14"/>
      <c r="G5" s="13"/>
      <c r="H5" s="13"/>
      <c r="I5" s="13"/>
      <c r="J5" s="13"/>
      <c r="K5" s="14"/>
      <c r="L5" s="205"/>
      <c r="M5" s="205"/>
      <c r="N5" s="205"/>
      <c r="O5" s="205"/>
      <c r="P5" s="205"/>
      <c r="Q5" s="17"/>
      <c r="R5" s="8"/>
      <c r="S5" s="205"/>
      <c r="T5" s="4"/>
      <c r="U5" s="4"/>
    </row>
    <row r="6" spans="1:21" ht="18" customHeight="1">
      <c r="A6" s="19"/>
      <c r="B6" s="20"/>
      <c r="C6" s="21" t="s">
        <v>1</v>
      </c>
      <c r="D6" s="22"/>
      <c r="E6" s="22"/>
      <c r="F6" s="23"/>
      <c r="G6" s="24" t="s">
        <v>2</v>
      </c>
      <c r="H6" s="25"/>
      <c r="I6" s="25"/>
      <c r="J6" s="26"/>
      <c r="K6" s="27"/>
      <c r="L6" s="27"/>
      <c r="M6" s="27"/>
      <c r="N6" s="27"/>
      <c r="O6" s="27"/>
      <c r="P6" s="27"/>
      <c r="Q6" s="28" t="s">
        <v>3</v>
      </c>
      <c r="R6" s="211"/>
      <c r="S6" s="211"/>
      <c r="T6" s="19"/>
      <c r="U6" s="19"/>
    </row>
    <row r="7" spans="1:21" ht="18" customHeight="1">
      <c r="A7" s="19"/>
      <c r="B7" s="30" t="s">
        <v>4</v>
      </c>
      <c r="C7" s="31" t="s">
        <v>57</v>
      </c>
      <c r="D7" s="31" t="s">
        <v>56</v>
      </c>
      <c r="E7" s="31" t="s">
        <v>53</v>
      </c>
      <c r="F7" s="32" t="s">
        <v>60</v>
      </c>
      <c r="G7" s="33">
        <v>2025</v>
      </c>
      <c r="H7" s="33">
        <f>G7+1</f>
        <v>2026</v>
      </c>
      <c r="I7" s="33">
        <f t="shared" ref="I7:J7" si="0">H7+1</f>
        <v>2027</v>
      </c>
      <c r="J7" s="33">
        <f t="shared" si="0"/>
        <v>2028</v>
      </c>
      <c r="K7" s="33">
        <f>J7+1</f>
        <v>2029</v>
      </c>
      <c r="L7" s="207" t="s">
        <v>61</v>
      </c>
      <c r="M7" s="207" t="s">
        <v>62</v>
      </c>
      <c r="N7" s="207" t="s">
        <v>63</v>
      </c>
      <c r="O7" s="207" t="s">
        <v>64</v>
      </c>
      <c r="P7" s="207" t="s">
        <v>65</v>
      </c>
      <c r="Q7" s="34" t="s">
        <v>54</v>
      </c>
      <c r="R7" s="212" t="s">
        <v>55</v>
      </c>
      <c r="S7" s="212" t="s">
        <v>66</v>
      </c>
      <c r="T7" s="19"/>
      <c r="U7" s="19"/>
    </row>
    <row r="8" spans="1:21" ht="18" customHeight="1">
      <c r="A8" s="19"/>
      <c r="B8" s="36" t="s">
        <v>5</v>
      </c>
      <c r="C8" s="37">
        <v>81462</v>
      </c>
      <c r="D8" s="37">
        <v>96773</v>
      </c>
      <c r="E8" s="37">
        <v>97690</v>
      </c>
      <c r="F8" s="37">
        <v>95633</v>
      </c>
      <c r="G8" s="38">
        <f t="shared" ref="G8:J8" si="1">F8*(1+G9)</f>
        <v>113803.26999999999</v>
      </c>
      <c r="H8" s="38">
        <f t="shared" si="1"/>
        <v>134287.85859999998</v>
      </c>
      <c r="I8" s="38">
        <f t="shared" si="1"/>
        <v>157116.79456199997</v>
      </c>
      <c r="J8" s="38">
        <f t="shared" si="1"/>
        <v>180684.31374629994</v>
      </c>
      <c r="K8" s="38">
        <f>J8*(1+K9)</f>
        <v>204173.27453331891</v>
      </c>
      <c r="L8" s="38">
        <f>K8*(1+L9)</f>
        <v>226632.33473198401</v>
      </c>
      <c r="M8" s="38">
        <f t="shared" ref="M8" si="2">L8*(1+M9)</f>
        <v>247029.24485786259</v>
      </c>
      <c r="N8" s="38">
        <f t="shared" ref="N8" si="3">M8*(1+N9)</f>
        <v>264321.29199791298</v>
      </c>
      <c r="O8" s="38">
        <f t="shared" ref="O8" si="4">N8*(1+O9)</f>
        <v>277537.35659780866</v>
      </c>
      <c r="P8" s="38">
        <f>O8*(1+P9)</f>
        <v>285863.47729574289</v>
      </c>
      <c r="Q8" s="39">
        <f>(F8/C8)^(1/3)-1</f>
        <v>5.4915249679581724E-2</v>
      </c>
      <c r="R8" s="213">
        <f>(K8/G8)^(1/4)-1</f>
        <v>0.15734019919512199</v>
      </c>
      <c r="S8" s="39">
        <f>(L8/P8)^(1/5)-1</f>
        <v>-4.5375359370021795E-2</v>
      </c>
      <c r="T8" s="19"/>
      <c r="U8" s="19"/>
    </row>
    <row r="9" spans="1:21" ht="18" customHeight="1">
      <c r="A9" s="19"/>
      <c r="B9" s="41" t="s">
        <v>6</v>
      </c>
      <c r="C9" s="42"/>
      <c r="D9" s="43">
        <f t="shared" ref="D9:F9" si="5">(D8/C8)-1</f>
        <v>0.18795266504627928</v>
      </c>
      <c r="E9" s="43">
        <f t="shared" si="5"/>
        <v>9.4757835346634955E-3</v>
      </c>
      <c r="F9" s="44">
        <f t="shared" si="5"/>
        <v>-2.1056402907155269E-2</v>
      </c>
      <c r="G9" s="45">
        <v>0.19</v>
      </c>
      <c r="H9" s="45">
        <v>0.18</v>
      </c>
      <c r="I9" s="45">
        <v>0.17</v>
      </c>
      <c r="J9" s="45">
        <v>0.15</v>
      </c>
      <c r="K9" s="45">
        <v>0.13</v>
      </c>
      <c r="L9" s="45">
        <v>0.11</v>
      </c>
      <c r="M9" s="45">
        <v>0.09</v>
      </c>
      <c r="N9" s="45">
        <v>7.0000000000000007E-2</v>
      </c>
      <c r="O9" s="45">
        <v>0.05</v>
      </c>
      <c r="P9" s="45">
        <v>0.03</v>
      </c>
      <c r="Q9" s="46"/>
      <c r="R9" s="208"/>
      <c r="S9" s="208"/>
      <c r="T9" s="19"/>
      <c r="U9" s="19"/>
    </row>
    <row r="10" spans="1:21" ht="18" customHeight="1">
      <c r="A10" s="19"/>
      <c r="B10" s="48" t="s">
        <v>7</v>
      </c>
      <c r="C10" s="49">
        <v>60609</v>
      </c>
      <c r="D10" s="49">
        <v>79113</v>
      </c>
      <c r="E10" s="49">
        <v>80240</v>
      </c>
      <c r="F10" s="49">
        <v>79369</v>
      </c>
      <c r="G10" s="50">
        <f t="shared" ref="G10:P10" si="6">G8*G11</f>
        <v>84783.436149999994</v>
      </c>
      <c r="H10" s="50">
        <f t="shared" si="6"/>
        <v>97358.697484999982</v>
      </c>
      <c r="I10" s="50">
        <f t="shared" si="6"/>
        <v>110767.34016620996</v>
      </c>
      <c r="J10" s="50">
        <f t="shared" si="6"/>
        <v>123768.75491621548</v>
      </c>
      <c r="K10" s="50">
        <f t="shared" si="6"/>
        <v>135775.22756465708</v>
      </c>
      <c r="L10" s="50">
        <f t="shared" si="6"/>
        <v>146177.8559021297</v>
      </c>
      <c r="M10" s="50">
        <f t="shared" si="6"/>
        <v>154393.27803616412</v>
      </c>
      <c r="N10" s="50">
        <f t="shared" si="6"/>
        <v>159914.38165873734</v>
      </c>
      <c r="O10" s="50">
        <f t="shared" si="6"/>
        <v>162359.35360971806</v>
      </c>
      <c r="P10" s="50">
        <f t="shared" si="6"/>
        <v>161512.86467209473</v>
      </c>
      <c r="Q10" s="46"/>
      <c r="R10" s="208"/>
      <c r="S10" s="208"/>
      <c r="T10" s="19"/>
      <c r="U10" s="19"/>
    </row>
    <row r="11" spans="1:21" ht="18" customHeight="1">
      <c r="A11" s="19"/>
      <c r="B11" s="51" t="s">
        <v>8</v>
      </c>
      <c r="C11" s="52">
        <f>C10/C8</f>
        <v>0.74401561464240995</v>
      </c>
      <c r="D11" s="52">
        <f t="shared" ref="D11:F11" si="7">D10/D8</f>
        <v>0.81751108263668582</v>
      </c>
      <c r="E11" s="52">
        <f t="shared" si="7"/>
        <v>0.82137373323779306</v>
      </c>
      <c r="F11" s="52">
        <f t="shared" si="7"/>
        <v>0.82993318206058575</v>
      </c>
      <c r="G11" s="53">
        <v>0.745</v>
      </c>
      <c r="H11" s="53">
        <v>0.72499999999999998</v>
      </c>
      <c r="I11" s="53">
        <v>0.70499999999999996</v>
      </c>
      <c r="J11" s="53">
        <v>0.68500000000000005</v>
      </c>
      <c r="K11" s="53">
        <v>0.66500000000000004</v>
      </c>
      <c r="L11" s="53">
        <v>0.64500000000000002</v>
      </c>
      <c r="M11" s="53">
        <v>0.625</v>
      </c>
      <c r="N11" s="53">
        <v>0.60499999999999998</v>
      </c>
      <c r="O11" s="53">
        <v>0.58499999999999996</v>
      </c>
      <c r="P11" s="53">
        <v>0.56499999999999995</v>
      </c>
      <c r="Q11" s="46"/>
      <c r="R11" s="208"/>
      <c r="S11" s="208"/>
      <c r="T11" s="19"/>
      <c r="U11" s="19"/>
    </row>
    <row r="12" spans="1:21" ht="18" customHeight="1">
      <c r="A12" s="19"/>
      <c r="B12" s="54" t="s">
        <v>9</v>
      </c>
      <c r="C12" s="55">
        <f>C8-C10</f>
        <v>20853</v>
      </c>
      <c r="D12" s="55">
        <f t="shared" ref="D12:F12" si="8">D8-D10</f>
        <v>17660</v>
      </c>
      <c r="E12" s="55">
        <f t="shared" si="8"/>
        <v>17450</v>
      </c>
      <c r="F12" s="55">
        <f t="shared" si="8"/>
        <v>16264</v>
      </c>
      <c r="G12" s="56">
        <f t="shared" ref="G12:P12" si="9">G8-G10</f>
        <v>29019.833849999995</v>
      </c>
      <c r="H12" s="56">
        <f t="shared" si="9"/>
        <v>36929.161114999995</v>
      </c>
      <c r="I12" s="56">
        <f t="shared" si="9"/>
        <v>46349.454395790002</v>
      </c>
      <c r="J12" s="56">
        <f t="shared" si="9"/>
        <v>56915.558830084468</v>
      </c>
      <c r="K12" s="56">
        <f t="shared" si="9"/>
        <v>68398.046968661831</v>
      </c>
      <c r="L12" s="56">
        <f t="shared" si="9"/>
        <v>80454.478829854314</v>
      </c>
      <c r="M12" s="56">
        <f t="shared" si="9"/>
        <v>92635.966821698472</v>
      </c>
      <c r="N12" s="56">
        <f t="shared" si="9"/>
        <v>104406.91033917564</v>
      </c>
      <c r="O12" s="56">
        <f t="shared" si="9"/>
        <v>115178.00298809059</v>
      </c>
      <c r="P12" s="56">
        <f t="shared" si="9"/>
        <v>124350.61262364817</v>
      </c>
      <c r="Q12" s="39">
        <f>(F12/C12)^(1/3)-1</f>
        <v>-7.9508870979419055E-2</v>
      </c>
      <c r="R12" s="213">
        <f>(K12/G12)^(1/4)-1</f>
        <v>0.23904532916878574</v>
      </c>
      <c r="S12" s="39">
        <f>(L12/P12)^(1/5)-1</f>
        <v>-8.3398720096180323E-2</v>
      </c>
      <c r="T12" s="19"/>
      <c r="U12" s="19"/>
    </row>
    <row r="13" spans="1:21" ht="18" customHeight="1">
      <c r="A13" s="19"/>
      <c r="B13" s="57" t="s">
        <v>10</v>
      </c>
      <c r="C13" s="42">
        <f t="shared" ref="C13:P13" si="10">C12/C8</f>
        <v>0.25598438535759005</v>
      </c>
      <c r="D13" s="42">
        <f t="shared" si="10"/>
        <v>0.18248891736331416</v>
      </c>
      <c r="E13" s="42">
        <f t="shared" si="10"/>
        <v>0.17862626676220697</v>
      </c>
      <c r="F13" s="44">
        <f t="shared" si="10"/>
        <v>0.17006681793941422</v>
      </c>
      <c r="G13" s="58">
        <f t="shared" si="10"/>
        <v>0.255</v>
      </c>
      <c r="H13" s="58">
        <f t="shared" si="10"/>
        <v>0.27500000000000002</v>
      </c>
      <c r="I13" s="58">
        <f t="shared" si="10"/>
        <v>0.2950000000000001</v>
      </c>
      <c r="J13" s="58">
        <f t="shared" si="10"/>
        <v>0.31499999999999995</v>
      </c>
      <c r="K13" s="58">
        <f t="shared" si="10"/>
        <v>0.33499999999999996</v>
      </c>
      <c r="L13" s="58">
        <f t="shared" si="10"/>
        <v>0.35499999999999998</v>
      </c>
      <c r="M13" s="58">
        <f t="shared" si="10"/>
        <v>0.375</v>
      </c>
      <c r="N13" s="58">
        <f t="shared" si="10"/>
        <v>0.39500000000000002</v>
      </c>
      <c r="O13" s="58">
        <f t="shared" si="10"/>
        <v>0.41499999999999998</v>
      </c>
      <c r="P13" s="58">
        <f t="shared" si="10"/>
        <v>0.435</v>
      </c>
      <c r="Q13" s="46"/>
      <c r="R13" s="208"/>
      <c r="S13" s="208"/>
      <c r="T13" s="19"/>
      <c r="U13" s="19"/>
    </row>
    <row r="14" spans="1:21" ht="18" customHeight="1">
      <c r="A14" s="19"/>
      <c r="B14" s="57" t="s">
        <v>6</v>
      </c>
      <c r="C14" s="42"/>
      <c r="D14" s="43">
        <f t="shared" ref="D14:J14" si="11">(D13/C13)-1</f>
        <v>-0.28710918399029883</v>
      </c>
      <c r="E14" s="43">
        <f t="shared" si="11"/>
        <v>-2.1166494146146464E-2</v>
      </c>
      <c r="F14" s="43">
        <f t="shared" si="11"/>
        <v>-4.7918198022843805E-2</v>
      </c>
      <c r="G14" s="59">
        <f t="shared" si="11"/>
        <v>0.49941066158386627</v>
      </c>
      <c r="H14" s="59">
        <f t="shared" si="11"/>
        <v>7.8431372549019773E-2</v>
      </c>
      <c r="I14" s="59">
        <f t="shared" si="11"/>
        <v>7.2727272727272974E-2</v>
      </c>
      <c r="J14" s="59">
        <f t="shared" si="11"/>
        <v>6.7796610169490901E-2</v>
      </c>
      <c r="K14" s="59">
        <f>(K13/J13)-1</f>
        <v>6.3492063492063489E-2</v>
      </c>
      <c r="L14" s="59">
        <f t="shared" ref="L14" si="12">(L13/K13)-1</f>
        <v>5.9701492537313383E-2</v>
      </c>
      <c r="M14" s="59">
        <f t="shared" ref="M14" si="13">(M13/L13)-1</f>
        <v>5.6338028169014231E-2</v>
      </c>
      <c r="N14" s="59">
        <f t="shared" ref="N14" si="14">(N13/M13)-1</f>
        <v>5.3333333333333455E-2</v>
      </c>
      <c r="O14" s="59">
        <f t="shared" ref="O14" si="15">(O13/N13)-1</f>
        <v>5.0632911392404889E-2</v>
      </c>
      <c r="P14" s="59">
        <f>(P13/O13)-1</f>
        <v>4.8192771084337505E-2</v>
      </c>
      <c r="Q14" s="46"/>
      <c r="R14" s="208"/>
      <c r="S14" s="208"/>
      <c r="T14" s="19"/>
      <c r="U14" s="19"/>
    </row>
    <row r="15" spans="1:21" ht="18" customHeight="1">
      <c r="A15" s="19"/>
      <c r="B15" s="48" t="s">
        <v>11</v>
      </c>
      <c r="C15" s="60">
        <v>7161</v>
      </c>
      <c r="D15" s="60">
        <v>8769</v>
      </c>
      <c r="E15" s="60">
        <v>9791</v>
      </c>
      <c r="F15" s="60">
        <v>11497</v>
      </c>
      <c r="G15" s="61">
        <f t="shared" ref="G15:P15" si="16">G8*G16</f>
        <v>11380.326999999999</v>
      </c>
      <c r="H15" s="61">
        <f t="shared" si="16"/>
        <v>13428.785859999998</v>
      </c>
      <c r="I15" s="61">
        <f t="shared" si="16"/>
        <v>15711.679456199998</v>
      </c>
      <c r="J15" s="61">
        <f t="shared" si="16"/>
        <v>18068.431374629996</v>
      </c>
      <c r="K15" s="61">
        <f>K8*K16</f>
        <v>20417.327453331891</v>
      </c>
      <c r="L15" s="61">
        <f t="shared" si="16"/>
        <v>22663.233473198401</v>
      </c>
      <c r="M15" s="61">
        <f t="shared" si="16"/>
        <v>24702.924485786261</v>
      </c>
      <c r="N15" s="61">
        <f t="shared" si="16"/>
        <v>26432.129199791299</v>
      </c>
      <c r="O15" s="61">
        <f t="shared" si="16"/>
        <v>27753.735659780868</v>
      </c>
      <c r="P15" s="61">
        <f t="shared" si="16"/>
        <v>28586.347729574292</v>
      </c>
      <c r="Q15" s="46"/>
      <c r="R15" s="208"/>
      <c r="S15" s="208"/>
      <c r="T15" s="19"/>
      <c r="U15" s="19"/>
    </row>
    <row r="16" spans="1:21" ht="18" customHeight="1">
      <c r="A16" s="19"/>
      <c r="B16" s="51" t="s">
        <v>8</v>
      </c>
      <c r="C16" s="62">
        <f t="shared" ref="C16:F16" si="17">C15/C8</f>
        <v>8.7906017529645719E-2</v>
      </c>
      <c r="D16" s="62">
        <f t="shared" si="17"/>
        <v>9.0614117574116748E-2</v>
      </c>
      <c r="E16" s="62">
        <f t="shared" si="17"/>
        <v>0.10022520217013001</v>
      </c>
      <c r="F16" s="62">
        <f t="shared" si="17"/>
        <v>0.12022000773791473</v>
      </c>
      <c r="G16" s="63">
        <v>0.1</v>
      </c>
      <c r="H16" s="63">
        <v>0.1</v>
      </c>
      <c r="I16" s="63">
        <v>0.1</v>
      </c>
      <c r="J16" s="63">
        <v>0.1</v>
      </c>
      <c r="K16" s="63">
        <v>0.1</v>
      </c>
      <c r="L16" s="63">
        <v>0.1</v>
      </c>
      <c r="M16" s="63">
        <v>0.1</v>
      </c>
      <c r="N16" s="63">
        <v>0.1</v>
      </c>
      <c r="O16" s="63">
        <v>0.1</v>
      </c>
      <c r="P16" s="63">
        <v>0.1</v>
      </c>
      <c r="Q16" s="46"/>
      <c r="R16" s="208"/>
      <c r="S16" s="208"/>
      <c r="T16" s="19"/>
      <c r="U16" s="19"/>
    </row>
    <row r="17" spans="1:21" ht="18" customHeight="1">
      <c r="A17" s="19"/>
      <c r="B17" s="54" t="s">
        <v>12</v>
      </c>
      <c r="C17" s="55">
        <f>C15+C10</f>
        <v>67770</v>
      </c>
      <c r="D17" s="55">
        <f t="shared" ref="D17:F17" si="18">D15+D10</f>
        <v>87882</v>
      </c>
      <c r="E17" s="55">
        <f t="shared" si="18"/>
        <v>90031</v>
      </c>
      <c r="F17" s="55">
        <f t="shared" si="18"/>
        <v>90866</v>
      </c>
      <c r="G17" s="64">
        <f>G10+G15</f>
        <v>96163.763149999999</v>
      </c>
      <c r="H17" s="64">
        <f t="shared" ref="H17:P17" si="19">H10+H15</f>
        <v>110787.48334499999</v>
      </c>
      <c r="I17" s="64">
        <f t="shared" si="19"/>
        <v>126479.01962240996</v>
      </c>
      <c r="J17" s="64">
        <f t="shared" si="19"/>
        <v>141837.18629084548</v>
      </c>
      <c r="K17" s="64">
        <f t="shared" si="19"/>
        <v>156192.55501798895</v>
      </c>
      <c r="L17" s="64">
        <f>L10+L15</f>
        <v>168841.0893753281</v>
      </c>
      <c r="M17" s="64">
        <f t="shared" si="19"/>
        <v>179096.20252195038</v>
      </c>
      <c r="N17" s="64">
        <f t="shared" si="19"/>
        <v>186346.51085852864</v>
      </c>
      <c r="O17" s="64">
        <f t="shared" si="19"/>
        <v>190113.08926949895</v>
      </c>
      <c r="P17" s="64">
        <f t="shared" si="19"/>
        <v>190099.21240166901</v>
      </c>
      <c r="Q17" s="39">
        <f>(F17/C17)^(1/3)-1</f>
        <v>0.10269306084642404</v>
      </c>
      <c r="R17" s="213">
        <f>(K17/G17)^(1/4)-1</f>
        <v>0.12891753751716073</v>
      </c>
      <c r="S17" s="39">
        <f>(L17/P17)^(1/5)-1</f>
        <v>-2.3438574279791569E-2</v>
      </c>
      <c r="T17" s="19"/>
      <c r="U17" s="19"/>
    </row>
    <row r="18" spans="1:21" ht="18" customHeight="1">
      <c r="A18" s="19"/>
      <c r="B18" s="65" t="s">
        <v>6</v>
      </c>
      <c r="C18" s="66"/>
      <c r="D18" s="52">
        <f t="shared" ref="D18:J18" si="20">(D17/C17)-1</f>
        <v>0.29676848162903946</v>
      </c>
      <c r="E18" s="52">
        <f t="shared" si="20"/>
        <v>2.4453244122800921E-2</v>
      </c>
      <c r="F18" s="62">
        <f t="shared" si="20"/>
        <v>9.2745831991203342E-3</v>
      </c>
      <c r="G18" s="67">
        <f t="shared" si="20"/>
        <v>5.8303030286355639E-2</v>
      </c>
      <c r="H18" s="67">
        <f t="shared" si="20"/>
        <v>0.15207100591715972</v>
      </c>
      <c r="I18" s="67">
        <f t="shared" si="20"/>
        <v>0.14163636363636356</v>
      </c>
      <c r="J18" s="67">
        <f t="shared" si="20"/>
        <v>0.12142857142857166</v>
      </c>
      <c r="K18" s="67">
        <f>(K17/J17)-1</f>
        <v>0.10121019108280205</v>
      </c>
      <c r="L18" s="67">
        <f t="shared" ref="L18" si="21">(L17/K17)-1</f>
        <v>8.0980392156863035E-2</v>
      </c>
      <c r="M18" s="67">
        <f t="shared" ref="M18" si="22">(M17/L17)-1</f>
        <v>6.073825503355712E-2</v>
      </c>
      <c r="N18" s="67">
        <f t="shared" ref="N18" si="23">(N17/M17)-1</f>
        <v>4.0482758620689507E-2</v>
      </c>
      <c r="O18" s="67">
        <f t="shared" ref="O18:P18" si="24">(O17/N17)-1</f>
        <v>2.0212765957447143E-2</v>
      </c>
      <c r="P18" s="67">
        <f t="shared" si="24"/>
        <v>-7.299270073013453E-5</v>
      </c>
      <c r="Q18" s="46"/>
      <c r="R18" s="208"/>
      <c r="S18" s="208"/>
      <c r="T18" s="19"/>
      <c r="U18" s="19"/>
    </row>
    <row r="19" spans="1:21" ht="18" customHeight="1">
      <c r="A19" s="19"/>
      <c r="B19" s="54" t="s">
        <v>13</v>
      </c>
      <c r="C19" s="68">
        <f>C8-C17</f>
        <v>13692</v>
      </c>
      <c r="D19" s="68">
        <f t="shared" ref="D19:F19" si="25">D8-D17</f>
        <v>8891</v>
      </c>
      <c r="E19" s="68">
        <f t="shared" si="25"/>
        <v>7659</v>
      </c>
      <c r="F19" s="68">
        <f t="shared" si="25"/>
        <v>4767</v>
      </c>
      <c r="G19" s="64">
        <f t="shared" ref="G19:P19" si="26">G8-G17</f>
        <v>17639.506849999991</v>
      </c>
      <c r="H19" s="64">
        <f t="shared" si="26"/>
        <v>23500.375254999992</v>
      </c>
      <c r="I19" s="64">
        <f t="shared" si="26"/>
        <v>30637.774939590003</v>
      </c>
      <c r="J19" s="64">
        <f t="shared" si="26"/>
        <v>38847.127455454465</v>
      </c>
      <c r="K19" s="64">
        <f t="shared" si="26"/>
        <v>47980.719515329954</v>
      </c>
      <c r="L19" s="64">
        <f t="shared" si="26"/>
        <v>57791.245356655912</v>
      </c>
      <c r="M19" s="64">
        <f t="shared" si="26"/>
        <v>67933.042335912207</v>
      </c>
      <c r="N19" s="64">
        <f t="shared" si="26"/>
        <v>77974.781139384344</v>
      </c>
      <c r="O19" s="64">
        <f t="shared" si="26"/>
        <v>87424.26732830971</v>
      </c>
      <c r="P19" s="64">
        <f t="shared" si="26"/>
        <v>95764.264894073887</v>
      </c>
      <c r="Q19" s="69">
        <f>(F19/C19)^(1/3)-1</f>
        <v>-0.29650758302365998</v>
      </c>
      <c r="R19" s="213">
        <f>(K19/G19)^(1/4)-1</f>
        <v>0.28423670748751828</v>
      </c>
      <c r="S19" s="39">
        <f>(L19/P19)^(1/5)-1</f>
        <v>-9.6076421805124546E-2</v>
      </c>
      <c r="T19" s="19"/>
      <c r="U19" s="19"/>
    </row>
    <row r="20" spans="1:21" ht="18" customHeight="1">
      <c r="A20" s="19"/>
      <c r="B20" s="57" t="s">
        <v>14</v>
      </c>
      <c r="C20" s="43">
        <f t="shared" ref="C20:F20" si="27">C19/C8</f>
        <v>0.16807836782794433</v>
      </c>
      <c r="D20" s="43">
        <f t="shared" si="27"/>
        <v>9.1874799789197395E-2</v>
      </c>
      <c r="E20" s="43">
        <f t="shared" si="27"/>
        <v>7.8401064592076977E-2</v>
      </c>
      <c r="F20" s="44">
        <f t="shared" si="27"/>
        <v>4.9846810201499482E-2</v>
      </c>
      <c r="G20" s="70">
        <v>0.16800000000000001</v>
      </c>
      <c r="H20" s="70">
        <v>0.16800000000000001</v>
      </c>
      <c r="I20" s="70">
        <v>0.16800000000000001</v>
      </c>
      <c r="J20" s="70">
        <v>0.16800000000000001</v>
      </c>
      <c r="K20" s="70">
        <v>0.16800000000000001</v>
      </c>
      <c r="L20" s="70">
        <v>0.16800000000000001</v>
      </c>
      <c r="M20" s="70">
        <v>0.16800000000000001</v>
      </c>
      <c r="N20" s="70">
        <v>0.16800000000000001</v>
      </c>
      <c r="O20" s="70">
        <v>0.16800000000000001</v>
      </c>
      <c r="P20" s="70">
        <v>0.16800000000000001</v>
      </c>
      <c r="Q20" s="46"/>
      <c r="R20" s="208"/>
      <c r="S20" s="208"/>
      <c r="T20" s="19"/>
      <c r="U20" s="19"/>
    </row>
    <row r="21" spans="1:21" ht="18" customHeight="1">
      <c r="A21" s="19"/>
      <c r="B21" s="71" t="s">
        <v>15</v>
      </c>
      <c r="C21" s="60">
        <f>8.3%*C19</f>
        <v>1136.4360000000001</v>
      </c>
      <c r="D21" s="60">
        <f>(8.3%+20.4%)/2*D19</f>
        <v>1275.8584999999998</v>
      </c>
      <c r="E21" s="60">
        <f>20.4%*E19</f>
        <v>1562.4359999999999</v>
      </c>
      <c r="F21" s="72">
        <f>22.3%*F19</f>
        <v>1063.0409999999999</v>
      </c>
      <c r="G21" s="73">
        <f t="shared" ref="G21:P21" si="28">G19*$G$40</f>
        <v>3933.610027549998</v>
      </c>
      <c r="H21" s="73">
        <f t="shared" si="28"/>
        <v>5240.5836818649987</v>
      </c>
      <c r="I21" s="73">
        <f t="shared" si="28"/>
        <v>6832.2238115285709</v>
      </c>
      <c r="J21" s="73">
        <f t="shared" si="28"/>
        <v>8662.9094225663466</v>
      </c>
      <c r="K21" s="73">
        <f t="shared" si="28"/>
        <v>10699.700451918579</v>
      </c>
      <c r="L21" s="73">
        <f t="shared" si="28"/>
        <v>12887.447714534268</v>
      </c>
      <c r="M21" s="73">
        <f t="shared" si="28"/>
        <v>15149.068440908422</v>
      </c>
      <c r="N21" s="73">
        <f t="shared" si="28"/>
        <v>17388.37619408271</v>
      </c>
      <c r="O21" s="73">
        <f t="shared" si="28"/>
        <v>19495.611614213067</v>
      </c>
      <c r="P21" s="73">
        <f t="shared" si="28"/>
        <v>21355.431071378476</v>
      </c>
      <c r="Q21" s="74"/>
      <c r="R21" s="209"/>
      <c r="S21" s="209"/>
      <c r="T21" s="19"/>
      <c r="U21" s="19"/>
    </row>
    <row r="22" spans="1:21" ht="17.25" customHeight="1">
      <c r="A22" s="19"/>
      <c r="B22" s="76" t="s">
        <v>16</v>
      </c>
      <c r="C22" s="77">
        <f t="shared" ref="C22:P22" si="29">C19-C21</f>
        <v>12555.564</v>
      </c>
      <c r="D22" s="77">
        <f t="shared" si="29"/>
        <v>7615.1414999999997</v>
      </c>
      <c r="E22" s="77">
        <f t="shared" si="29"/>
        <v>6096.5640000000003</v>
      </c>
      <c r="F22" s="77">
        <f t="shared" si="29"/>
        <v>3703.9589999999998</v>
      </c>
      <c r="G22" s="77">
        <f t="shared" si="29"/>
        <v>13705.896822449993</v>
      </c>
      <c r="H22" s="77">
        <f t="shared" si="29"/>
        <v>18259.791573134993</v>
      </c>
      <c r="I22" s="77">
        <f t="shared" si="29"/>
        <v>23805.55112806143</v>
      </c>
      <c r="J22" s="77">
        <f t="shared" si="29"/>
        <v>30184.218032888119</v>
      </c>
      <c r="K22" s="77">
        <f t="shared" si="29"/>
        <v>37281.019063411375</v>
      </c>
      <c r="L22" s="77">
        <f t="shared" si="29"/>
        <v>44903.797642121644</v>
      </c>
      <c r="M22" s="77">
        <f t="shared" si="29"/>
        <v>52783.973895003786</v>
      </c>
      <c r="N22" s="77">
        <f t="shared" si="29"/>
        <v>60586.404945301634</v>
      </c>
      <c r="O22" s="77">
        <f t="shared" si="29"/>
        <v>67928.655714096647</v>
      </c>
      <c r="P22" s="77">
        <f t="shared" si="29"/>
        <v>74408.833822695407</v>
      </c>
      <c r="Q22" s="69">
        <f>(F22/C22)^(1/3)-1</f>
        <v>-0.33430292579114362</v>
      </c>
      <c r="R22" s="213">
        <f>(K22/G22)^(1/4)-1</f>
        <v>0.28423670748751828</v>
      </c>
      <c r="S22" s="39">
        <f>(L22/P22)^(1/5)-1</f>
        <v>-9.6076421805124546E-2</v>
      </c>
      <c r="T22" s="78"/>
      <c r="U22" s="78"/>
    </row>
    <row r="23" spans="1:21" ht="18" customHeight="1">
      <c r="A23" s="19"/>
      <c r="B23" s="79" t="s">
        <v>17</v>
      </c>
      <c r="C23" s="60">
        <v>3543</v>
      </c>
      <c r="D23" s="60">
        <v>4667</v>
      </c>
      <c r="E23" s="60">
        <v>5368</v>
      </c>
      <c r="F23" s="60">
        <v>6001</v>
      </c>
      <c r="G23" s="80">
        <f t="shared" ref="G23:P23" si="30">G8*G24</f>
        <v>7169.6060099999995</v>
      </c>
      <c r="H23" s="80">
        <f t="shared" si="30"/>
        <v>8728.7108089999983</v>
      </c>
      <c r="I23" s="80">
        <f t="shared" si="30"/>
        <v>10526.825235653998</v>
      </c>
      <c r="J23" s="80">
        <f t="shared" si="30"/>
        <v>12467.217648494698</v>
      </c>
      <c r="K23" s="80">
        <f t="shared" si="30"/>
        <v>14496.302491865641</v>
      </c>
      <c r="L23" s="80">
        <f t="shared" si="30"/>
        <v>16544.160435434831</v>
      </c>
      <c r="M23" s="80">
        <f t="shared" si="30"/>
        <v>18527.193364339695</v>
      </c>
      <c r="N23" s="80">
        <f t="shared" si="30"/>
        <v>20352.739483839297</v>
      </c>
      <c r="O23" s="80">
        <f t="shared" si="30"/>
        <v>21925.451171226883</v>
      </c>
      <c r="P23" s="80">
        <f t="shared" si="30"/>
        <v>23154.941660955174</v>
      </c>
      <c r="Q23" s="74"/>
      <c r="R23" s="209"/>
      <c r="S23" s="209"/>
      <c r="T23" s="19"/>
      <c r="U23" s="19"/>
    </row>
    <row r="24" spans="1:21" ht="18" customHeight="1">
      <c r="A24" s="81"/>
      <c r="B24" s="41" t="s">
        <v>8</v>
      </c>
      <c r="C24" s="44">
        <f t="shared" ref="C24:F24" si="31">C23/C8</f>
        <v>4.3492671429623625E-2</v>
      </c>
      <c r="D24" s="44">
        <f t="shared" si="31"/>
        <v>4.822626145722464E-2</v>
      </c>
      <c r="E24" s="44">
        <f t="shared" si="31"/>
        <v>5.4949329511720747E-2</v>
      </c>
      <c r="F24" s="44">
        <f t="shared" si="31"/>
        <v>6.2750305856764929E-2</v>
      </c>
      <c r="G24" s="82">
        <v>6.3E-2</v>
      </c>
      <c r="H24" s="82">
        <v>6.5000000000000002E-2</v>
      </c>
      <c r="I24" s="82">
        <v>6.7000000000000004E-2</v>
      </c>
      <c r="J24" s="82">
        <v>6.9000000000000006E-2</v>
      </c>
      <c r="K24" s="82">
        <v>7.0999999999999994E-2</v>
      </c>
      <c r="L24" s="82">
        <v>7.2999999999999995E-2</v>
      </c>
      <c r="M24" s="82">
        <v>7.4999999999999997E-2</v>
      </c>
      <c r="N24" s="82">
        <v>7.6999999999999999E-2</v>
      </c>
      <c r="O24" s="82">
        <v>7.9000000000000001E-2</v>
      </c>
      <c r="P24" s="82">
        <v>8.1000000000000003E-2</v>
      </c>
      <c r="Q24" s="83"/>
      <c r="R24" s="208"/>
      <c r="S24" s="208"/>
      <c r="T24" s="81"/>
      <c r="U24" s="81"/>
    </row>
    <row r="25" spans="1:21" ht="17.25" customHeight="1">
      <c r="A25" s="19"/>
      <c r="B25" s="71" t="s">
        <v>18</v>
      </c>
      <c r="C25" s="60">
        <v>7163</v>
      </c>
      <c r="D25" s="60">
        <v>8899</v>
      </c>
      <c r="E25" s="60">
        <v>11342</v>
      </c>
      <c r="F25" s="72">
        <v>8914</v>
      </c>
      <c r="G25" s="73">
        <f t="shared" ref="G25:P25" si="32">G8*G26</f>
        <v>10583.704109999999</v>
      </c>
      <c r="H25" s="73">
        <f t="shared" si="32"/>
        <v>12354.482991199999</v>
      </c>
      <c r="I25" s="73">
        <f t="shared" si="32"/>
        <v>14297.628305141996</v>
      </c>
      <c r="J25" s="73">
        <f t="shared" si="32"/>
        <v>16261.588237166994</v>
      </c>
      <c r="K25" s="85">
        <f t="shared" si="32"/>
        <v>18171.421433465381</v>
      </c>
      <c r="L25" s="73">
        <f t="shared" si="32"/>
        <v>19943.645456414593</v>
      </c>
      <c r="M25" s="73">
        <f t="shared" si="32"/>
        <v>21491.544302634044</v>
      </c>
      <c r="N25" s="73">
        <f t="shared" si="32"/>
        <v>22731.631111820516</v>
      </c>
      <c r="O25" s="73">
        <f t="shared" si="32"/>
        <v>23590.675310813738</v>
      </c>
      <c r="P25" s="85">
        <f t="shared" si="32"/>
        <v>24012.532092842404</v>
      </c>
      <c r="Q25" s="86"/>
      <c r="R25" s="206"/>
      <c r="S25" s="206"/>
      <c r="T25" s="19"/>
      <c r="U25" s="19"/>
    </row>
    <row r="26" spans="1:21" ht="18" customHeight="1">
      <c r="A26" s="19"/>
      <c r="B26" s="88" t="s">
        <v>8</v>
      </c>
      <c r="C26" s="89">
        <f t="shared" ref="C26:F26" si="33">C25/C8</f>
        <v>8.7930568854189678E-2</v>
      </c>
      <c r="D26" s="89">
        <f t="shared" si="33"/>
        <v>9.1957467475432195E-2</v>
      </c>
      <c r="E26" s="89">
        <f t="shared" si="33"/>
        <v>0.11610195516429522</v>
      </c>
      <c r="F26" s="89">
        <f t="shared" si="33"/>
        <v>9.3210502650758628E-2</v>
      </c>
      <c r="G26" s="90">
        <v>9.2999999999999999E-2</v>
      </c>
      <c r="H26" s="90">
        <v>9.1999999999999998E-2</v>
      </c>
      <c r="I26" s="90">
        <v>9.0999999999999998E-2</v>
      </c>
      <c r="J26" s="90">
        <v>0.09</v>
      </c>
      <c r="K26" s="90">
        <v>8.8999999999999996E-2</v>
      </c>
      <c r="L26" s="90">
        <v>8.7999999999999995E-2</v>
      </c>
      <c r="M26" s="90">
        <v>8.6999999999999994E-2</v>
      </c>
      <c r="N26" s="90">
        <v>8.5999999999999993E-2</v>
      </c>
      <c r="O26" s="90">
        <v>8.5000000000000006E-2</v>
      </c>
      <c r="P26" s="90">
        <v>8.4000000000000005E-2</v>
      </c>
      <c r="Q26" s="46"/>
      <c r="R26" s="208"/>
      <c r="S26" s="208"/>
      <c r="T26" s="91"/>
      <c r="U26" s="91"/>
    </row>
    <row r="27" spans="1:21" ht="18" customHeight="1">
      <c r="A27" s="19"/>
      <c r="B27" s="92" t="s">
        <v>19</v>
      </c>
      <c r="C27" s="93">
        <v>2365</v>
      </c>
      <c r="D27" s="93">
        <v>809</v>
      </c>
      <c r="E27" s="93">
        <v>1420</v>
      </c>
      <c r="F27" s="196">
        <v>-608.1</v>
      </c>
      <c r="G27" s="94">
        <f>G8*G28</f>
        <v>-910.42615999999998</v>
      </c>
      <c r="H27" s="94">
        <f t="shared" ref="G27:P27" si="34">H8*H28</f>
        <v>-1342.8785859999998</v>
      </c>
      <c r="I27" s="94">
        <f t="shared" si="34"/>
        <v>-2042.5183293059995</v>
      </c>
      <c r="J27" s="94">
        <f t="shared" si="34"/>
        <v>-3071.6333336870994</v>
      </c>
      <c r="K27" s="95">
        <f t="shared" si="34"/>
        <v>-4083.4654906663782</v>
      </c>
      <c r="L27" s="94">
        <f t="shared" si="34"/>
        <v>-5665.8083682996003</v>
      </c>
      <c r="M27" s="94">
        <f t="shared" si="34"/>
        <v>-7410.8773457358775</v>
      </c>
      <c r="N27" s="94">
        <f t="shared" si="34"/>
        <v>-9251.2452199269555</v>
      </c>
      <c r="O27" s="94">
        <f t="shared" si="34"/>
        <v>-11101.494263912346</v>
      </c>
      <c r="P27" s="95">
        <f t="shared" si="34"/>
        <v>-11434.539091829716</v>
      </c>
      <c r="Q27" s="86"/>
      <c r="R27" s="206"/>
      <c r="S27" s="206"/>
      <c r="T27" s="19"/>
      <c r="U27" s="19"/>
    </row>
    <row r="28" spans="1:21" ht="18" customHeight="1">
      <c r="A28" s="19"/>
      <c r="B28" s="88" t="s">
        <v>8</v>
      </c>
      <c r="C28" s="89">
        <f t="shared" ref="C28:F28" si="35">C27/C8</f>
        <v>2.9031941273231689E-2</v>
      </c>
      <c r="D28" s="89">
        <f t="shared" si="35"/>
        <v>8.3597697704938367E-3</v>
      </c>
      <c r="E28" s="89">
        <f t="shared" si="35"/>
        <v>1.4535776435663835E-2</v>
      </c>
      <c r="F28" s="96">
        <f t="shared" si="35"/>
        <v>-6.3586837179634651E-3</v>
      </c>
      <c r="G28" s="90">
        <v>-8.0000000000000002E-3</v>
      </c>
      <c r="H28" s="90">
        <v>-0.01</v>
      </c>
      <c r="I28" s="90">
        <v>-1.2999999999999999E-2</v>
      </c>
      <c r="J28" s="90">
        <v>-1.7000000000000001E-2</v>
      </c>
      <c r="K28" s="90">
        <v>-0.02</v>
      </c>
      <c r="L28" s="90">
        <v>-2.5000000000000001E-2</v>
      </c>
      <c r="M28" s="90">
        <v>-0.03</v>
      </c>
      <c r="N28" s="90">
        <v>-3.5000000000000003E-2</v>
      </c>
      <c r="O28" s="90">
        <v>-0.04</v>
      </c>
      <c r="P28" s="90">
        <v>-0.04</v>
      </c>
      <c r="Q28" s="86"/>
      <c r="R28" s="206"/>
      <c r="S28" s="206"/>
      <c r="T28" s="19"/>
      <c r="U28" s="19"/>
    </row>
    <row r="29" spans="1:21" ht="18" customHeight="1">
      <c r="A29" s="19"/>
      <c r="B29" s="71" t="s">
        <v>20</v>
      </c>
      <c r="C29" s="97"/>
      <c r="D29" s="97">
        <f>-D27+C27</f>
        <v>1556</v>
      </c>
      <c r="E29" s="97">
        <f t="shared" ref="E29:J29" si="36">-E27+D27</f>
        <v>-611</v>
      </c>
      <c r="F29" s="97">
        <f t="shared" si="36"/>
        <v>2028.1</v>
      </c>
      <c r="G29" s="97">
        <f>-G27+F27</f>
        <v>302.32615999999996</v>
      </c>
      <c r="H29" s="97">
        <f t="shared" si="36"/>
        <v>432.45242599999983</v>
      </c>
      <c r="I29" s="97">
        <f t="shared" si="36"/>
        <v>699.63974330599967</v>
      </c>
      <c r="J29" s="97">
        <f t="shared" si="36"/>
        <v>1029.1150043810999</v>
      </c>
      <c r="K29" s="97">
        <f>-K27+J27</f>
        <v>1011.8321569792788</v>
      </c>
      <c r="L29" s="97">
        <f t="shared" ref="L29" si="37">-L27+K27</f>
        <v>1582.3428776332221</v>
      </c>
      <c r="M29" s="97">
        <f t="shared" ref="M29" si="38">-M27+L27</f>
        <v>1745.0689774362772</v>
      </c>
      <c r="N29" s="97">
        <f t="shared" ref="N29" si="39">-N27+M27</f>
        <v>1840.367874191078</v>
      </c>
      <c r="O29" s="97">
        <f t="shared" ref="O29:P29" si="40">-O27+N27</f>
        <v>1850.24904398539</v>
      </c>
      <c r="P29" s="97">
        <f t="shared" si="40"/>
        <v>333.04482791737064</v>
      </c>
      <c r="Q29" s="98"/>
      <c r="R29" s="210"/>
      <c r="S29" s="210"/>
      <c r="T29" s="100"/>
      <c r="U29" s="100"/>
    </row>
    <row r="30" spans="1:21" ht="18" customHeight="1">
      <c r="A30" s="19"/>
      <c r="B30" s="76" t="s">
        <v>21</v>
      </c>
      <c r="C30" s="77"/>
      <c r="D30" s="101">
        <f>D22+D23-D25+D29</f>
        <v>4939.1414999999997</v>
      </c>
      <c r="E30" s="101">
        <f t="shared" ref="E30:F30" si="41">E22+E23-E25+E29</f>
        <v>-488.43599999999969</v>
      </c>
      <c r="F30" s="101">
        <f t="shared" si="41"/>
        <v>2819.0589999999988</v>
      </c>
      <c r="G30" s="101">
        <f t="shared" ref="G30" si="42">G22+G23-G25+G29</f>
        <v>10594.124882449996</v>
      </c>
      <c r="H30" s="101">
        <f t="shared" ref="H30" si="43">H22+H23-H25+H29</f>
        <v>15066.471816934991</v>
      </c>
      <c r="I30" s="101">
        <f t="shared" ref="I30" si="44">I22+I23-I25+I29</f>
        <v>20734.387801879431</v>
      </c>
      <c r="J30" s="101">
        <f t="shared" ref="J30" si="45">J22+J23-J25+J29</f>
        <v>27418.962448596925</v>
      </c>
      <c r="K30" s="101">
        <f>K22+K23-K25+K29</f>
        <v>34617.732278790907</v>
      </c>
      <c r="L30" s="101">
        <f t="shared" ref="L30:O30" si="46">L22+L23-L25+L29</f>
        <v>43086.655498775108</v>
      </c>
      <c r="M30" s="101">
        <f t="shared" si="46"/>
        <v>51564.691934145711</v>
      </c>
      <c r="N30" s="101">
        <f t="shared" si="46"/>
        <v>60047.881191511486</v>
      </c>
      <c r="O30" s="101">
        <f t="shared" si="46"/>
        <v>68113.680618495186</v>
      </c>
      <c r="P30" s="101">
        <f>P22+P23-P25+P29</f>
        <v>73884.288218725545</v>
      </c>
      <c r="Q30" s="69">
        <f>(F30/D30)^(1/3)-1</f>
        <v>-0.170497755175536</v>
      </c>
      <c r="R30" s="213">
        <f>(K30/G30)^(1/4)-1</f>
        <v>0.34449249313787189</v>
      </c>
      <c r="S30" s="39">
        <f>(L30/P30)^(1/5)-1</f>
        <v>-0.10224436845436558</v>
      </c>
      <c r="T30" s="100"/>
      <c r="U30" s="100"/>
    </row>
    <row r="31" spans="1:21" ht="18" customHeight="1">
      <c r="A31" s="19"/>
      <c r="B31" s="71" t="s">
        <v>22</v>
      </c>
      <c r="C31" s="103"/>
      <c r="D31" s="97"/>
      <c r="E31" s="97"/>
      <c r="F31" s="104"/>
      <c r="G31" s="105">
        <f>$G$47</f>
        <v>0.10727919044077479</v>
      </c>
      <c r="H31" s="105">
        <f t="shared" ref="G31:P31" si="47">$G$47</f>
        <v>0.10727919044077479</v>
      </c>
      <c r="I31" s="105">
        <f t="shared" si="47"/>
        <v>0.10727919044077479</v>
      </c>
      <c r="J31" s="105">
        <f t="shared" si="47"/>
        <v>0.10727919044077479</v>
      </c>
      <c r="K31" s="106">
        <f t="shared" si="47"/>
        <v>0.10727919044077479</v>
      </c>
      <c r="L31" s="105">
        <f t="shared" si="47"/>
        <v>0.10727919044077479</v>
      </c>
      <c r="M31" s="105">
        <f t="shared" si="47"/>
        <v>0.10727919044077479</v>
      </c>
      <c r="N31" s="105">
        <f t="shared" si="47"/>
        <v>0.10727919044077479</v>
      </c>
      <c r="O31" s="105">
        <f t="shared" si="47"/>
        <v>0.10727919044077479</v>
      </c>
      <c r="P31" s="106">
        <f t="shared" si="47"/>
        <v>0.10727919044077479</v>
      </c>
      <c r="Q31" s="86"/>
      <c r="R31" s="206"/>
      <c r="S31" s="206"/>
      <c r="T31" s="19"/>
      <c r="U31" s="19"/>
    </row>
    <row r="32" spans="1:21" ht="18" customHeight="1">
      <c r="A32" s="19"/>
      <c r="B32" s="71" t="s">
        <v>23</v>
      </c>
      <c r="C32" s="97"/>
      <c r="D32" s="97"/>
      <c r="E32" s="97"/>
      <c r="F32" s="104"/>
      <c r="G32" s="107">
        <v>0.5</v>
      </c>
      <c r="H32" s="107">
        <f t="shared" ref="H32:J32" si="48">G32+1</f>
        <v>1.5</v>
      </c>
      <c r="I32" s="107">
        <f t="shared" si="48"/>
        <v>2.5</v>
      </c>
      <c r="J32" s="107">
        <f t="shared" si="48"/>
        <v>3.5</v>
      </c>
      <c r="K32" s="108">
        <f>J32+1</f>
        <v>4.5</v>
      </c>
      <c r="L32" s="107">
        <v>5.5</v>
      </c>
      <c r="M32" s="107">
        <f t="shared" ref="M32" si="49">L32+1</f>
        <v>6.5</v>
      </c>
      <c r="N32" s="107">
        <f t="shared" ref="N32" si="50">M32+1</f>
        <v>7.5</v>
      </c>
      <c r="O32" s="107">
        <f t="shared" ref="O32" si="51">N32+1</f>
        <v>8.5</v>
      </c>
      <c r="P32" s="108">
        <f>O32+1</f>
        <v>9.5</v>
      </c>
      <c r="Q32" s="86"/>
      <c r="R32" s="206"/>
      <c r="S32" s="206"/>
      <c r="T32" s="19"/>
      <c r="U32" s="19"/>
    </row>
    <row r="33" spans="1:21" ht="18" customHeight="1">
      <c r="A33" s="19"/>
      <c r="B33" s="71" t="s">
        <v>24</v>
      </c>
      <c r="C33" s="97"/>
      <c r="D33" s="97"/>
      <c r="E33" s="97"/>
      <c r="F33" s="104"/>
      <c r="G33" s="109">
        <f t="shared" ref="G33:P33" si="52">1/((1+G31)^G32)</f>
        <v>0.95032341712873092</v>
      </c>
      <c r="H33" s="109">
        <f t="shared" si="52"/>
        <v>0.85825095001598972</v>
      </c>
      <c r="I33" s="109">
        <f t="shared" si="52"/>
        <v>0.77509896097148323</v>
      </c>
      <c r="J33" s="109">
        <f t="shared" si="52"/>
        <v>0.70000318588389576</v>
      </c>
      <c r="K33" s="110">
        <f t="shared" si="52"/>
        <v>0.63218309521851068</v>
      </c>
      <c r="L33" s="109">
        <f t="shared" si="52"/>
        <v>0.57093378135902417</v>
      </c>
      <c r="M33" s="109">
        <f t="shared" si="52"/>
        <v>0.51561863194751489</v>
      </c>
      <c r="N33" s="109">
        <f t="shared" si="52"/>
        <v>0.46566271307082235</v>
      </c>
      <c r="O33" s="109">
        <f t="shared" si="52"/>
        <v>0.4205467935195783</v>
      </c>
      <c r="P33" s="110">
        <f t="shared" si="52"/>
        <v>0.37980194800931022</v>
      </c>
      <c r="Q33" s="86"/>
      <c r="R33" s="206"/>
      <c r="S33" s="206"/>
      <c r="T33" s="19"/>
      <c r="U33" s="19"/>
    </row>
    <row r="34" spans="1:21" ht="18" customHeight="1">
      <c r="A34" s="19"/>
      <c r="B34" s="111" t="s">
        <v>25</v>
      </c>
      <c r="C34" s="112"/>
      <c r="D34" s="112"/>
      <c r="E34" s="112"/>
      <c r="F34" s="113"/>
      <c r="G34" s="114">
        <f t="shared" ref="G34:P34" si="53">G33*G30</f>
        <v>10067.844959778395</v>
      </c>
      <c r="H34" s="114">
        <f t="shared" si="53"/>
        <v>12930.81375027359</v>
      </c>
      <c r="I34" s="114">
        <f t="shared" si="53"/>
        <v>16071.202441616544</v>
      </c>
      <c r="J34" s="114">
        <f t="shared" si="53"/>
        <v>19193.361067648751</v>
      </c>
      <c r="K34" s="115">
        <f t="shared" si="53"/>
        <v>21884.745141451782</v>
      </c>
      <c r="L34" s="114">
        <f t="shared" si="53"/>
        <v>24599.627150029264</v>
      </c>
      <c r="M34" s="114">
        <f t="shared" si="53"/>
        <v>26587.715911879266</v>
      </c>
      <c r="N34" s="114">
        <f t="shared" si="53"/>
        <v>27962.059269793644</v>
      </c>
      <c r="O34" s="114">
        <f t="shared" si="53"/>
        <v>28644.989978924797</v>
      </c>
      <c r="P34" s="115">
        <f t="shared" si="53"/>
        <v>28061.396592753292</v>
      </c>
      <c r="Q34" s="116"/>
      <c r="R34" s="214"/>
      <c r="S34" s="214"/>
      <c r="T34" s="100"/>
      <c r="U34" s="100"/>
    </row>
    <row r="35" spans="1:21" ht="18" customHeight="1">
      <c r="A35" s="19"/>
      <c r="B35" s="118"/>
      <c r="C35" s="119"/>
      <c r="D35" s="19"/>
      <c r="E35" s="19"/>
      <c r="F35" s="19"/>
      <c r="G35" s="19"/>
      <c r="H35" s="19"/>
      <c r="I35" s="19"/>
      <c r="J35" s="19"/>
      <c r="K35" s="120"/>
      <c r="L35" s="120"/>
      <c r="M35" s="120"/>
      <c r="N35" s="120"/>
      <c r="O35" s="120"/>
      <c r="P35" s="120"/>
      <c r="Q35" s="119"/>
      <c r="R35" s="119"/>
      <c r="S35" s="119"/>
      <c r="T35" s="19"/>
      <c r="U35" s="19"/>
    </row>
    <row r="36" spans="1:21" ht="18" customHeight="1">
      <c r="A36" s="19"/>
      <c r="B36" s="121" t="s">
        <v>26</v>
      </c>
      <c r="C36" s="122"/>
      <c r="D36" s="19"/>
      <c r="E36" s="123" t="s">
        <v>27</v>
      </c>
      <c r="F36" s="124"/>
      <c r="G36" s="125"/>
      <c r="H36" s="19"/>
      <c r="I36" s="126" t="s">
        <v>28</v>
      </c>
      <c r="J36" s="127"/>
      <c r="K36" s="127"/>
      <c r="L36" s="128"/>
      <c r="M36" s="127"/>
      <c r="N36" s="127"/>
      <c r="O36" s="129"/>
      <c r="P36" s="216"/>
      <c r="Q36" s="217"/>
      <c r="R36" s="216"/>
      <c r="S36" s="216"/>
      <c r="T36" s="216"/>
      <c r="U36" s="216"/>
    </row>
    <row r="37" spans="1:21" ht="18" customHeight="1">
      <c r="A37" s="19"/>
      <c r="B37" s="130" t="s">
        <v>29</v>
      </c>
      <c r="C37" s="131">
        <f>P30</f>
        <v>73884.288218725545</v>
      </c>
      <c r="D37" s="19"/>
      <c r="E37" s="132" t="s">
        <v>30</v>
      </c>
      <c r="F37" s="133"/>
      <c r="G37" s="197">
        <v>8213</v>
      </c>
      <c r="H37" s="19"/>
      <c r="I37" s="134"/>
      <c r="J37" s="135"/>
      <c r="K37" s="135"/>
      <c r="L37" s="135"/>
      <c r="M37" s="136" t="s">
        <v>31</v>
      </c>
      <c r="N37" s="135"/>
      <c r="O37" s="137"/>
      <c r="P37" s="216"/>
      <c r="Q37" s="216"/>
      <c r="R37" s="218"/>
      <c r="S37" s="218"/>
      <c r="T37" s="216"/>
      <c r="U37" s="216"/>
    </row>
    <row r="38" spans="1:21" ht="18" customHeight="1">
      <c r="A38" s="19"/>
      <c r="B38" s="130" t="s">
        <v>31</v>
      </c>
      <c r="C38" s="200">
        <v>0.03</v>
      </c>
      <c r="D38" s="19"/>
      <c r="E38" s="132" t="s">
        <v>32</v>
      </c>
      <c r="F38" s="133"/>
      <c r="G38" s="138">
        <f>G37/(G37+G41)</f>
        <v>5.391361087278607E-3</v>
      </c>
      <c r="H38" s="19"/>
      <c r="I38" s="134"/>
      <c r="J38" s="135"/>
      <c r="K38" s="139">
        <f t="shared" ref="K38:L38" si="54">L38+0.2%</f>
        <v>3.4000000000000002E-2</v>
      </c>
      <c r="L38" s="139">
        <f t="shared" si="54"/>
        <v>3.2000000000000001E-2</v>
      </c>
      <c r="M38" s="139">
        <f>C38</f>
        <v>0.03</v>
      </c>
      <c r="N38" s="139">
        <f t="shared" ref="N38:O38" si="55">M38-0.2%</f>
        <v>2.7999999999999997E-2</v>
      </c>
      <c r="O38" s="140">
        <f t="shared" si="55"/>
        <v>2.5999999999999995E-2</v>
      </c>
      <c r="P38" s="219"/>
      <c r="Q38" s="219"/>
      <c r="R38" s="219"/>
      <c r="S38" s="219"/>
      <c r="T38" s="219"/>
      <c r="U38" s="219"/>
    </row>
    <row r="39" spans="1:21" ht="18" customHeight="1">
      <c r="A39" s="19"/>
      <c r="B39" s="130" t="s">
        <v>33</v>
      </c>
      <c r="C39" s="141">
        <f>C37*(1+C38)/(G47-C38)</f>
        <v>984751.73499144567</v>
      </c>
      <c r="D39" s="19"/>
      <c r="E39" s="142" t="s">
        <v>34</v>
      </c>
      <c r="F39" s="102"/>
      <c r="G39" s="143">
        <f>G44+0.6%</f>
        <v>4.2429999999999995E-2</v>
      </c>
      <c r="H39" s="19"/>
      <c r="I39" s="134"/>
      <c r="J39" s="139">
        <f t="shared" ref="J39:J40" si="56">J40-0.2%</f>
        <v>0.10327919044077478</v>
      </c>
      <c r="K39" s="144" t="e">
        <f ca="1">(($C$39*(1+K$40)/($J39-(K$40)))*(1/((1+$J39)^5)) + $G$32/(1+$J39)^1 + $H$32/(1+$J39)^2 + $I$32/(1+$J39)^3 + $J$32/(1+$J39)^4 + $K$32/(1+$J39)^5 + $C$49 - $C$50) / $C$52</f>
        <v>#NAME?</v>
      </c>
      <c r="L39" s="145" t="e">
        <f t="shared" ref="L39:O39" ca="1" si="57">(($C$39*(1+L$40)/($J39-(L$40)))*(1/((1+$J39)^5)) + $G$32/(1+$J39)^1 + $H$32/(1+$J39)^2 + $I$32/(1+$J39)^3 + $J$32/(1+$J39)^4 + $K$32/(1+$J39)^5 + $C$49 - $C$50) / $C$52</f>
        <v>#NAME?</v>
      </c>
      <c r="M39" s="146" t="e">
        <f t="shared" ca="1" si="57"/>
        <v>#NAME?</v>
      </c>
      <c r="N39" s="147" t="e">
        <f t="shared" ca="1" si="57"/>
        <v>#NAME?</v>
      </c>
      <c r="O39" s="148" t="e">
        <f t="shared" ca="1" si="57"/>
        <v>#NAME?</v>
      </c>
      <c r="P39" s="215"/>
      <c r="Q39" s="215"/>
      <c r="R39" s="215"/>
      <c r="S39" s="215"/>
      <c r="T39" s="215"/>
      <c r="U39" s="215"/>
    </row>
    <row r="40" spans="1:21" ht="18" customHeight="1">
      <c r="A40" s="19"/>
      <c r="B40" s="130" t="s">
        <v>35</v>
      </c>
      <c r="C40" s="149">
        <f>C39/P19</f>
        <v>10.283081440458949</v>
      </c>
      <c r="D40" s="19"/>
      <c r="E40" s="132" t="s">
        <v>36</v>
      </c>
      <c r="F40" s="133"/>
      <c r="G40" s="198">
        <v>0.223</v>
      </c>
      <c r="H40" s="19"/>
      <c r="I40" s="134"/>
      <c r="J40" s="139">
        <f t="shared" si="56"/>
        <v>0.10527919044077479</v>
      </c>
      <c r="K40" s="150" t="e">
        <f t="shared" ref="K40:O43" ca="1" si="58">(($C$39*(1+K$40)/($J40-(K$40)))*(1/((1+$J40)^5)) + $G$32/(1+$J40)^1 + $H$32/(1+$J40)^2 + $I$32/(1+$J40)^3 + $J$32/(1+$J40)^4 + $K$32/(1+$J40)^5 + $C$49 - $C$50) / $C$52</f>
        <v>#NAME?</v>
      </c>
      <c r="L40" s="151" t="e">
        <f t="shared" ca="1" si="58"/>
        <v>#NAME?</v>
      </c>
      <c r="M40" s="152" t="e">
        <f t="shared" ca="1" si="58"/>
        <v>#NAME?</v>
      </c>
      <c r="N40" s="153" t="e">
        <f t="shared" ca="1" si="58"/>
        <v>#NAME?</v>
      </c>
      <c r="O40" s="154" t="e">
        <f t="shared" ca="1" si="58"/>
        <v>#NAME?</v>
      </c>
      <c r="P40" s="215"/>
      <c r="Q40" s="215"/>
      <c r="R40" s="215"/>
      <c r="S40" s="215"/>
      <c r="T40" s="215"/>
      <c r="U40" s="215"/>
    </row>
    <row r="41" spans="1:21" ht="18" customHeight="1">
      <c r="A41" s="19"/>
      <c r="B41" s="130" t="s">
        <v>23</v>
      </c>
      <c r="C41" s="201">
        <v>10</v>
      </c>
      <c r="D41" s="19"/>
      <c r="E41" s="132" t="s">
        <v>37</v>
      </c>
      <c r="F41" s="133"/>
      <c r="G41" s="155">
        <f>455*3330</f>
        <v>1515150</v>
      </c>
      <c r="H41" s="19"/>
      <c r="I41" s="156" t="s">
        <v>22</v>
      </c>
      <c r="J41" s="139">
        <f>G47</f>
        <v>0.10727919044077479</v>
      </c>
      <c r="K41" s="157" t="e">
        <f t="shared" ca="1" si="58"/>
        <v>#NAME?</v>
      </c>
      <c r="L41" s="158" t="e">
        <f t="shared" ca="1" si="58"/>
        <v>#NAME?</v>
      </c>
      <c r="M41" s="159" t="e">
        <f t="shared" ca="1" si="58"/>
        <v>#NAME?</v>
      </c>
      <c r="N41" s="160" t="e">
        <f t="shared" ca="1" si="58"/>
        <v>#NAME?</v>
      </c>
      <c r="O41" s="161" t="e">
        <f t="shared" ca="1" si="58"/>
        <v>#NAME?</v>
      </c>
      <c r="P41" s="215"/>
      <c r="Q41" s="215"/>
      <c r="R41" s="215"/>
      <c r="S41" s="215"/>
      <c r="T41" s="215"/>
      <c r="U41" s="215"/>
    </row>
    <row r="42" spans="1:21" ht="18" customHeight="1">
      <c r="A42" s="19"/>
      <c r="B42" s="162" t="s">
        <v>24</v>
      </c>
      <c r="C42" s="163">
        <f>1/(1+G47)^C41</f>
        <v>0.36093468506435639</v>
      </c>
      <c r="D42" s="19"/>
      <c r="E42" s="132" t="s">
        <v>38</v>
      </c>
      <c r="F42" s="133"/>
      <c r="G42" s="138">
        <f>G41/(G41+G37)</f>
        <v>0.99460863891272144</v>
      </c>
      <c r="H42" s="19"/>
      <c r="I42" s="134"/>
      <c r="J42" s="139">
        <f t="shared" ref="J42:J43" si="59">J41+0.2%</f>
        <v>0.10927919044077479</v>
      </c>
      <c r="K42" s="164" t="e">
        <f t="shared" ca="1" si="58"/>
        <v>#NAME?</v>
      </c>
      <c r="L42" s="165" t="e">
        <f t="shared" ca="1" si="58"/>
        <v>#NAME?</v>
      </c>
      <c r="M42" s="166" t="e">
        <f t="shared" ca="1" si="58"/>
        <v>#NAME?</v>
      </c>
      <c r="N42" s="167" t="e">
        <f t="shared" ca="1" si="58"/>
        <v>#NAME?</v>
      </c>
      <c r="O42" s="168" t="e">
        <f t="shared" ca="1" si="58"/>
        <v>#NAME?</v>
      </c>
      <c r="P42" s="215"/>
      <c r="Q42" s="215"/>
      <c r="R42" s="215"/>
      <c r="S42" s="215"/>
      <c r="T42" s="215"/>
      <c r="U42" s="215"/>
    </row>
    <row r="43" spans="1:21" ht="18" customHeight="1">
      <c r="A43" s="19"/>
      <c r="B43" s="169" t="s">
        <v>39</v>
      </c>
      <c r="C43" s="170">
        <f>C39*C42</f>
        <v>355431.05733571597</v>
      </c>
      <c r="D43" s="19"/>
      <c r="E43" s="142" t="s">
        <v>40</v>
      </c>
      <c r="F43" s="102"/>
      <c r="G43" s="143">
        <f>G44+G45*G46</f>
        <v>0.107682</v>
      </c>
      <c r="H43" s="19"/>
      <c r="I43" s="171"/>
      <c r="J43" s="172">
        <f t="shared" si="59"/>
        <v>0.11127919044077479</v>
      </c>
      <c r="K43" s="173" t="e">
        <f t="shared" ca="1" si="58"/>
        <v>#NAME?</v>
      </c>
      <c r="L43" s="174" t="e">
        <f t="shared" ca="1" si="58"/>
        <v>#NAME?</v>
      </c>
      <c r="M43" s="175" t="e">
        <f t="shared" ca="1" si="58"/>
        <v>#NAME?</v>
      </c>
      <c r="N43" s="176" t="e">
        <f t="shared" ca="1" si="58"/>
        <v>#NAME?</v>
      </c>
      <c r="O43" s="177" t="e">
        <f t="shared" ca="1" si="58"/>
        <v>#NAME?</v>
      </c>
      <c r="P43" s="215"/>
      <c r="Q43" s="215"/>
      <c r="R43" s="215"/>
      <c r="S43" s="215"/>
      <c r="T43" s="215"/>
      <c r="U43" s="215"/>
    </row>
    <row r="44" spans="1:21" ht="18" customHeight="1">
      <c r="A44" s="19"/>
      <c r="D44" s="19"/>
      <c r="E44" s="132" t="s">
        <v>41</v>
      </c>
      <c r="F44" s="133"/>
      <c r="G44" s="198">
        <v>3.6429999999999997E-2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 spans="1:21" ht="18" customHeight="1">
      <c r="A45" s="19"/>
      <c r="B45" s="121" t="s">
        <v>42</v>
      </c>
      <c r="C45" s="122"/>
      <c r="D45" s="19"/>
      <c r="E45" s="132" t="s">
        <v>43</v>
      </c>
      <c r="F45" s="133"/>
      <c r="G45" s="199">
        <v>1.88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 spans="1:21" ht="18" customHeight="1">
      <c r="A46" s="19"/>
      <c r="B46" s="178" t="s">
        <v>44</v>
      </c>
      <c r="C46" s="179">
        <f>SUM(G34:P34,C43)</f>
        <v>571434.8135998653</v>
      </c>
      <c r="D46" s="180"/>
      <c r="E46" s="132" t="s">
        <v>45</v>
      </c>
      <c r="F46" s="133"/>
      <c r="G46" s="198">
        <v>3.7900000000000003E-2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80"/>
      <c r="S46" s="180"/>
      <c r="T46" s="19"/>
      <c r="U46" s="19"/>
    </row>
    <row r="47" spans="1:21" ht="18" customHeight="1">
      <c r="A47" s="19"/>
      <c r="B47" s="181" t="s">
        <v>46</v>
      </c>
      <c r="C47" s="202">
        <v>16169</v>
      </c>
      <c r="D47" s="119"/>
      <c r="E47" s="182" t="s">
        <v>22</v>
      </c>
      <c r="F47" s="183"/>
      <c r="G47" s="184">
        <f>(G38*G39*(1-G40))+(G42*G43)</f>
        <v>0.10727919044077479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19"/>
      <c r="S47" s="119"/>
      <c r="T47" s="185"/>
      <c r="U47" s="185"/>
    </row>
    <row r="48" spans="1:21" ht="18" customHeight="1">
      <c r="A48" s="19"/>
      <c r="B48" s="162" t="s">
        <v>47</v>
      </c>
      <c r="C48" s="204">
        <f>G37</f>
        <v>8213</v>
      </c>
      <c r="D48" s="1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19"/>
      <c r="S48" s="119"/>
      <c r="T48" s="19"/>
      <c r="U48" s="19"/>
    </row>
    <row r="49" spans="1:21" ht="18" customHeight="1">
      <c r="A49" s="19"/>
      <c r="B49" s="186" t="s">
        <v>48</v>
      </c>
      <c r="C49" s="187">
        <f>C46+C47-C48</f>
        <v>579390.8135998653</v>
      </c>
      <c r="D49" s="1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19"/>
      <c r="S49" s="119"/>
      <c r="T49" s="188"/>
      <c r="U49" s="188"/>
    </row>
    <row r="50" spans="1:21" ht="18" customHeight="1">
      <c r="A50" s="19"/>
      <c r="B50" s="189" t="s">
        <v>49</v>
      </c>
      <c r="C50" s="203">
        <v>3330</v>
      </c>
      <c r="D50" s="1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19"/>
      <c r="S50" s="119"/>
      <c r="T50" s="190"/>
      <c r="U50" s="190"/>
    </row>
    <row r="51" spans="1:21" ht="18" customHeight="1">
      <c r="A51" s="19"/>
      <c r="B51" s="186" t="s">
        <v>50</v>
      </c>
      <c r="C51" s="191">
        <f>C49/C50</f>
        <v>173.99123531527488</v>
      </c>
      <c r="D51" s="120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19"/>
      <c r="S51" s="119"/>
      <c r="T51" s="190"/>
      <c r="U51" s="190"/>
    </row>
    <row r="52" spans="1:21" ht="18" customHeight="1">
      <c r="A52" s="19"/>
      <c r="B52" s="189" t="s">
        <v>51</v>
      </c>
      <c r="C52" s="192">
        <v>455</v>
      </c>
      <c r="D52" s="180"/>
      <c r="E52" s="193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19"/>
      <c r="S52" s="119"/>
      <c r="T52" s="190"/>
      <c r="U52" s="190"/>
    </row>
    <row r="53" spans="1:21" ht="18" customHeight="1">
      <c r="A53" s="19"/>
      <c r="B53" s="194" t="s">
        <v>52</v>
      </c>
      <c r="C53" s="195">
        <f>(C51/C52)-1</f>
        <v>-0.61760168062576948</v>
      </c>
      <c r="D53" s="1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19"/>
      <c r="S53" s="119"/>
      <c r="T53" s="190"/>
      <c r="U53" s="190"/>
    </row>
    <row r="54" spans="1:21" ht="18" customHeight="1">
      <c r="A54" s="19"/>
      <c r="D54" s="1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19"/>
      <c r="S54" s="119"/>
      <c r="T54" s="190"/>
      <c r="U54" s="190"/>
    </row>
  </sheetData>
  <conditionalFormatting sqref="C53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P39:U43">
    <cfRule type="colorScale" priority="2">
      <colorScale>
        <cfvo type="min"/>
        <cfvo type="max"/>
        <color rgb="FFC9DAF8"/>
        <color rgb="FF3C78D8"/>
      </colorScale>
    </cfRule>
  </conditionalFormatting>
  <conditionalFormatting sqref="K39:O43">
    <cfRule type="colorScale" priority="1">
      <colorScale>
        <cfvo type="min"/>
        <cfvo type="max"/>
        <color rgb="FFC9DAF8"/>
        <color rgb="FF3C78D8"/>
      </colorScale>
    </cfRule>
  </conditionalFormatting>
  <pageMargins left="0.3" right="0.3" top="0.3" bottom="0.3" header="0" footer="0"/>
  <pageSetup paperSize="9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8787-9CA7-C74B-8619-BEF00C8ED105}">
  <dimension ref="A1:O54"/>
  <sheetViews>
    <sheetView topLeftCell="A15" workbookViewId="0">
      <selection activeCell="I47" sqref="I47"/>
    </sheetView>
  </sheetViews>
  <sheetFormatPr baseColWidth="10" defaultColWidth="14.5" defaultRowHeight="15"/>
  <cols>
    <col min="1" max="1" width="3.33203125" customWidth="1"/>
    <col min="2" max="2" width="41.33203125" customWidth="1"/>
    <col min="3" max="3" width="14.1640625" customWidth="1"/>
    <col min="4" max="6" width="9.83203125" customWidth="1"/>
    <col min="7" max="7" width="10.83203125" customWidth="1"/>
    <col min="8" max="15" width="9.83203125" customWidth="1"/>
  </cols>
  <sheetData>
    <row r="1" spans="1:15" ht="16.5" customHeight="1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24" customHeight="1">
      <c r="A2" s="1"/>
      <c r="B2" s="5" t="s">
        <v>59</v>
      </c>
      <c r="C2" s="6"/>
      <c r="D2" s="7"/>
      <c r="E2" s="8"/>
      <c r="F2" s="8"/>
      <c r="G2" s="8"/>
      <c r="H2" s="8"/>
      <c r="I2" s="8"/>
      <c r="J2" s="8"/>
      <c r="K2" s="8"/>
      <c r="L2" s="9"/>
      <c r="M2" s="9"/>
      <c r="N2" s="9"/>
      <c r="O2" s="4"/>
    </row>
    <row r="3" spans="1:15" ht="18" customHeight="1">
      <c r="A3" s="1"/>
      <c r="B3" s="10" t="s">
        <v>0</v>
      </c>
      <c r="C3" s="11"/>
      <c r="D3" s="12"/>
      <c r="E3" s="13"/>
      <c r="F3" s="14"/>
      <c r="G3" s="13"/>
      <c r="H3" s="13"/>
      <c r="I3" s="13"/>
      <c r="J3" s="13"/>
      <c r="K3" s="14"/>
      <c r="L3" s="15"/>
      <c r="M3" s="9"/>
      <c r="N3" s="4"/>
      <c r="O3" s="4"/>
    </row>
    <row r="4" spans="1:15" ht="19.5" customHeight="1">
      <c r="A4" s="1"/>
      <c r="B4" s="16" t="s">
        <v>58</v>
      </c>
      <c r="C4" s="11"/>
      <c r="D4" s="12"/>
      <c r="E4" s="13"/>
      <c r="F4" s="14"/>
      <c r="G4" s="13"/>
      <c r="H4" s="13"/>
      <c r="I4" s="13"/>
      <c r="J4" s="13"/>
      <c r="K4" s="14"/>
      <c r="L4" s="17"/>
      <c r="M4" s="8"/>
      <c r="N4" s="4"/>
      <c r="O4" s="4"/>
    </row>
    <row r="5" spans="1:15" ht="15" customHeight="1">
      <c r="A5" s="1"/>
      <c r="B5" s="18"/>
      <c r="C5" s="12"/>
      <c r="D5" s="12"/>
      <c r="E5" s="13"/>
      <c r="F5" s="14"/>
      <c r="G5" s="13"/>
      <c r="H5" s="13"/>
      <c r="I5" s="13"/>
      <c r="J5" s="13"/>
      <c r="K5" s="14"/>
      <c r="L5" s="17"/>
      <c r="M5" s="8"/>
      <c r="N5" s="4"/>
      <c r="O5" s="4"/>
    </row>
    <row r="6" spans="1:15" ht="18" customHeight="1">
      <c r="A6" s="19"/>
      <c r="B6" s="20"/>
      <c r="C6" s="21" t="s">
        <v>1</v>
      </c>
      <c r="D6" s="22"/>
      <c r="E6" s="22"/>
      <c r="F6" s="23"/>
      <c r="G6" s="24" t="s">
        <v>2</v>
      </c>
      <c r="H6" s="25"/>
      <c r="I6" s="25"/>
      <c r="J6" s="26"/>
      <c r="K6" s="27"/>
      <c r="L6" s="28" t="s">
        <v>3</v>
      </c>
      <c r="M6" s="29"/>
      <c r="N6" s="19"/>
      <c r="O6" s="19"/>
    </row>
    <row r="7" spans="1:15" ht="18" customHeight="1">
      <c r="A7" s="19"/>
      <c r="B7" s="30" t="s">
        <v>4</v>
      </c>
      <c r="C7" s="31" t="s">
        <v>57</v>
      </c>
      <c r="D7" s="31" t="s">
        <v>56</v>
      </c>
      <c r="E7" s="31" t="s">
        <v>53</v>
      </c>
      <c r="F7" s="32" t="s">
        <v>60</v>
      </c>
      <c r="G7" s="33">
        <v>2025</v>
      </c>
      <c r="H7" s="33">
        <f>G7+1</f>
        <v>2026</v>
      </c>
      <c r="I7" s="33">
        <f t="shared" ref="I7:K7" si="0">H7+1</f>
        <v>2027</v>
      </c>
      <c r="J7" s="33">
        <f t="shared" si="0"/>
        <v>2028</v>
      </c>
      <c r="K7" s="33">
        <f t="shared" si="0"/>
        <v>2029</v>
      </c>
      <c r="L7" s="34" t="s">
        <v>54</v>
      </c>
      <c r="M7" s="35" t="s">
        <v>55</v>
      </c>
      <c r="N7" s="19"/>
      <c r="O7" s="19"/>
    </row>
    <row r="8" spans="1:15" ht="18" customHeight="1">
      <c r="A8" s="19"/>
      <c r="B8" s="36" t="s">
        <v>5</v>
      </c>
      <c r="C8" s="37">
        <v>81462</v>
      </c>
      <c r="D8" s="37">
        <v>96773</v>
      </c>
      <c r="E8" s="37">
        <v>97690</v>
      </c>
      <c r="F8" s="37">
        <v>95633</v>
      </c>
      <c r="G8" s="38">
        <f t="shared" ref="G8:K8" si="1">F8*(1+G9)</f>
        <v>109977.95</v>
      </c>
      <c r="H8" s="38">
        <f t="shared" si="1"/>
        <v>124275.08349999998</v>
      </c>
      <c r="I8" s="38">
        <f t="shared" si="1"/>
        <v>137945.34268499998</v>
      </c>
      <c r="J8" s="38">
        <f t="shared" si="1"/>
        <v>150360.42352665</v>
      </c>
      <c r="K8" s="38">
        <f t="shared" si="1"/>
        <v>160885.65317351551</v>
      </c>
      <c r="L8" s="39">
        <f>(F8/C8)^(1/3)-1</f>
        <v>5.4915249679581724E-2</v>
      </c>
      <c r="M8" s="40">
        <f>(K8/G8)^(1/4)-1</f>
        <v>9.9772673718057092E-2</v>
      </c>
      <c r="N8" s="19"/>
      <c r="O8" s="19"/>
    </row>
    <row r="9" spans="1:15" ht="18" customHeight="1">
      <c r="A9" s="19"/>
      <c r="B9" s="41" t="s">
        <v>6</v>
      </c>
      <c r="C9" s="42"/>
      <c r="D9" s="43">
        <f t="shared" ref="D9:F9" si="2">(D8/C8)-1</f>
        <v>0.18795266504627928</v>
      </c>
      <c r="E9" s="43">
        <f t="shared" si="2"/>
        <v>9.4757835346634955E-3</v>
      </c>
      <c r="F9" s="44">
        <f t="shared" si="2"/>
        <v>-2.1056402907155269E-2</v>
      </c>
      <c r="G9" s="45">
        <v>0.15</v>
      </c>
      <c r="H9" s="45">
        <v>0.13</v>
      </c>
      <c r="I9" s="45">
        <v>0.11</v>
      </c>
      <c r="J9" s="45">
        <v>0.09</v>
      </c>
      <c r="K9" s="45">
        <v>7.0000000000000007E-2</v>
      </c>
      <c r="L9" s="46"/>
      <c r="M9" s="47"/>
      <c r="N9" s="19"/>
      <c r="O9" s="19"/>
    </row>
    <row r="10" spans="1:15" ht="18" customHeight="1">
      <c r="A10" s="19"/>
      <c r="B10" s="48" t="s">
        <v>7</v>
      </c>
      <c r="C10" s="49">
        <v>60609</v>
      </c>
      <c r="D10" s="49">
        <v>79113</v>
      </c>
      <c r="E10" s="49">
        <v>80240</v>
      </c>
      <c r="F10" s="49">
        <v>79369</v>
      </c>
      <c r="G10" s="50">
        <f t="shared" ref="G10:K10" si="3">G8*G11</f>
        <v>81933.572749999992</v>
      </c>
      <c r="H10" s="50">
        <f t="shared" si="3"/>
        <v>92584.937207499985</v>
      </c>
      <c r="I10" s="50">
        <f t="shared" si="3"/>
        <v>102769.28030032499</v>
      </c>
      <c r="J10" s="50">
        <f t="shared" si="3"/>
        <v>112018.51552735425</v>
      </c>
      <c r="K10" s="50">
        <f t="shared" si="3"/>
        <v>119859.81161426906</v>
      </c>
      <c r="L10" s="46"/>
      <c r="M10" s="47"/>
      <c r="N10" s="19"/>
      <c r="O10" s="19"/>
    </row>
    <row r="11" spans="1:15" ht="18" customHeight="1">
      <c r="A11" s="19"/>
      <c r="B11" s="51" t="s">
        <v>8</v>
      </c>
      <c r="C11" s="52">
        <f>C10/C8</f>
        <v>0.74401561464240995</v>
      </c>
      <c r="D11" s="52">
        <f t="shared" ref="D11:F11" si="4">D10/D8</f>
        <v>0.81751108263668582</v>
      </c>
      <c r="E11" s="52">
        <f t="shared" si="4"/>
        <v>0.82137373323779306</v>
      </c>
      <c r="F11" s="52">
        <f t="shared" si="4"/>
        <v>0.82993318206058575</v>
      </c>
      <c r="G11" s="53">
        <v>0.745</v>
      </c>
      <c r="H11" s="53">
        <v>0.745</v>
      </c>
      <c r="I11" s="53">
        <v>0.745</v>
      </c>
      <c r="J11" s="53">
        <v>0.745</v>
      </c>
      <c r="K11" s="53">
        <v>0.745</v>
      </c>
      <c r="L11" s="46"/>
      <c r="M11" s="47"/>
      <c r="N11" s="19"/>
      <c r="O11" s="19"/>
    </row>
    <row r="12" spans="1:15" ht="18" customHeight="1">
      <c r="A12" s="19"/>
      <c r="B12" s="54" t="s">
        <v>9</v>
      </c>
      <c r="C12" s="55">
        <f>C8-C10</f>
        <v>20853</v>
      </c>
      <c r="D12" s="55">
        <f t="shared" ref="D12:K12" si="5">D8-D10</f>
        <v>17660</v>
      </c>
      <c r="E12" s="55">
        <f t="shared" si="5"/>
        <v>17450</v>
      </c>
      <c r="F12" s="55">
        <f t="shared" si="5"/>
        <v>16264</v>
      </c>
      <c r="G12" s="56">
        <f t="shared" si="5"/>
        <v>28044.377250000005</v>
      </c>
      <c r="H12" s="56">
        <f t="shared" si="5"/>
        <v>31690.146292499994</v>
      </c>
      <c r="I12" s="56">
        <f t="shared" si="5"/>
        <v>35176.062384674995</v>
      </c>
      <c r="J12" s="56">
        <f t="shared" si="5"/>
        <v>38341.907999295756</v>
      </c>
      <c r="K12" s="56">
        <f t="shared" si="5"/>
        <v>41025.841559246459</v>
      </c>
      <c r="L12" s="39">
        <f>(F12/C12)^(1/3)-1</f>
        <v>-7.9508870979419055E-2</v>
      </c>
      <c r="M12" s="40">
        <f>(K12/G12)^(1/4)-1</f>
        <v>9.9772673718057092E-2</v>
      </c>
      <c r="N12" s="19"/>
      <c r="O12" s="19"/>
    </row>
    <row r="13" spans="1:15" ht="18" customHeight="1">
      <c r="A13" s="19"/>
      <c r="B13" s="57" t="s">
        <v>10</v>
      </c>
      <c r="C13" s="42">
        <f t="shared" ref="C13:K13" si="6">C12/C8</f>
        <v>0.25598438535759005</v>
      </c>
      <c r="D13" s="42">
        <f t="shared" si="6"/>
        <v>0.18248891736331416</v>
      </c>
      <c r="E13" s="42">
        <f t="shared" si="6"/>
        <v>0.17862626676220697</v>
      </c>
      <c r="F13" s="44">
        <f t="shared" si="6"/>
        <v>0.17006681793941422</v>
      </c>
      <c r="G13" s="58">
        <f t="shared" si="6"/>
        <v>0.25500000000000006</v>
      </c>
      <c r="H13" s="58">
        <f t="shared" si="6"/>
        <v>0.255</v>
      </c>
      <c r="I13" s="58">
        <f t="shared" si="6"/>
        <v>0.255</v>
      </c>
      <c r="J13" s="58">
        <f t="shared" si="6"/>
        <v>0.25500000000000006</v>
      </c>
      <c r="K13" s="58">
        <f t="shared" si="6"/>
        <v>0.255</v>
      </c>
      <c r="L13" s="46"/>
      <c r="M13" s="47"/>
      <c r="N13" s="19"/>
      <c r="O13" s="19"/>
    </row>
    <row r="14" spans="1:15" ht="18" customHeight="1">
      <c r="A14" s="19"/>
      <c r="B14" s="57" t="s">
        <v>6</v>
      </c>
      <c r="C14" s="42"/>
      <c r="D14" s="43">
        <f t="shared" ref="D14:K14" si="7">(D13/C13)-1</f>
        <v>-0.28710918399029883</v>
      </c>
      <c r="E14" s="43">
        <f t="shared" si="7"/>
        <v>-2.1166494146146464E-2</v>
      </c>
      <c r="F14" s="43">
        <f t="shared" si="7"/>
        <v>-4.7918198022843805E-2</v>
      </c>
      <c r="G14" s="59">
        <f t="shared" si="7"/>
        <v>0.49941066158386649</v>
      </c>
      <c r="H14" s="59">
        <f t="shared" si="7"/>
        <v>0</v>
      </c>
      <c r="I14" s="59">
        <f t="shared" si="7"/>
        <v>0</v>
      </c>
      <c r="J14" s="59">
        <f t="shared" si="7"/>
        <v>0</v>
      </c>
      <c r="K14" s="59">
        <f t="shared" si="7"/>
        <v>0</v>
      </c>
      <c r="L14" s="46"/>
      <c r="M14" s="47"/>
      <c r="N14" s="19"/>
      <c r="O14" s="19"/>
    </row>
    <row r="15" spans="1:15" ht="18" customHeight="1">
      <c r="A15" s="19"/>
      <c r="B15" s="48" t="s">
        <v>11</v>
      </c>
      <c r="C15" s="60">
        <v>7161</v>
      </c>
      <c r="D15" s="60">
        <v>8769</v>
      </c>
      <c r="E15" s="60">
        <v>9791</v>
      </c>
      <c r="F15" s="60">
        <v>11497</v>
      </c>
      <c r="G15" s="61">
        <f t="shared" ref="G15:K15" si="8">G8*G16</f>
        <v>10997.795</v>
      </c>
      <c r="H15" s="61">
        <f t="shared" si="8"/>
        <v>12427.508349999998</v>
      </c>
      <c r="I15" s="61">
        <f t="shared" si="8"/>
        <v>13794.5342685</v>
      </c>
      <c r="J15" s="61">
        <f t="shared" si="8"/>
        <v>15036.042352665001</v>
      </c>
      <c r="K15" s="61">
        <f t="shared" si="8"/>
        <v>16088.565317351553</v>
      </c>
      <c r="L15" s="46"/>
      <c r="M15" s="47"/>
      <c r="N15" s="19"/>
      <c r="O15" s="19"/>
    </row>
    <row r="16" spans="1:15" ht="18" customHeight="1">
      <c r="A16" s="19"/>
      <c r="B16" s="51" t="s">
        <v>8</v>
      </c>
      <c r="C16" s="62">
        <f t="shared" ref="C16:F16" si="9">C15/C8</f>
        <v>8.7906017529645719E-2</v>
      </c>
      <c r="D16" s="62">
        <f t="shared" si="9"/>
        <v>9.0614117574116748E-2</v>
      </c>
      <c r="E16" s="62">
        <f t="shared" si="9"/>
        <v>0.10022520217013001</v>
      </c>
      <c r="F16" s="62">
        <f t="shared" si="9"/>
        <v>0.12022000773791473</v>
      </c>
      <c r="G16" s="63">
        <v>0.1</v>
      </c>
      <c r="H16" s="63">
        <v>0.1</v>
      </c>
      <c r="I16" s="63">
        <v>0.1</v>
      </c>
      <c r="J16" s="63">
        <v>0.1</v>
      </c>
      <c r="K16" s="63">
        <v>0.1</v>
      </c>
      <c r="L16" s="46"/>
      <c r="M16" s="47"/>
      <c r="N16" s="19"/>
      <c r="O16" s="19"/>
    </row>
    <row r="17" spans="1:15" ht="18" customHeight="1">
      <c r="A17" s="19"/>
      <c r="B17" s="54" t="s">
        <v>12</v>
      </c>
      <c r="C17" s="55">
        <f>C15+C10</f>
        <v>67770</v>
      </c>
      <c r="D17" s="55">
        <f t="shared" ref="D17:F17" si="10">D15+D10</f>
        <v>87882</v>
      </c>
      <c r="E17" s="55">
        <f t="shared" si="10"/>
        <v>90031</v>
      </c>
      <c r="F17" s="55">
        <f t="shared" si="10"/>
        <v>90866</v>
      </c>
      <c r="G17" s="64">
        <f>G10+G15</f>
        <v>92931.36774999999</v>
      </c>
      <c r="H17" s="64">
        <f t="shared" ref="H17:K17" si="11">H10+H15</f>
        <v>105012.44555749999</v>
      </c>
      <c r="I17" s="64">
        <f t="shared" si="11"/>
        <v>116563.81456882498</v>
      </c>
      <c r="J17" s="64">
        <f t="shared" si="11"/>
        <v>127054.55788001925</v>
      </c>
      <c r="K17" s="64">
        <f t="shared" si="11"/>
        <v>135948.37693162062</v>
      </c>
      <c r="L17" s="39">
        <f>(F17/C17)^(1/3)-1</f>
        <v>0.10269306084642404</v>
      </c>
      <c r="M17" s="40">
        <f>(K17/G17)^(1/4)-1</f>
        <v>9.9772673718057092E-2</v>
      </c>
      <c r="N17" s="19"/>
      <c r="O17" s="19"/>
    </row>
    <row r="18" spans="1:15" ht="18" customHeight="1">
      <c r="A18" s="19"/>
      <c r="B18" s="65" t="s">
        <v>6</v>
      </c>
      <c r="C18" s="66"/>
      <c r="D18" s="52">
        <f t="shared" ref="D18:K18" si="12">(D17/C17)-1</f>
        <v>0.29676848162903946</v>
      </c>
      <c r="E18" s="52">
        <f t="shared" si="12"/>
        <v>2.4453244122800921E-2</v>
      </c>
      <c r="F18" s="62">
        <f t="shared" si="12"/>
        <v>9.2745831991203342E-3</v>
      </c>
      <c r="G18" s="67">
        <f t="shared" si="12"/>
        <v>2.2729819184293287E-2</v>
      </c>
      <c r="H18" s="67">
        <f t="shared" si="12"/>
        <v>0.12999999999999989</v>
      </c>
      <c r="I18" s="67">
        <f t="shared" si="12"/>
        <v>0.10999999999999988</v>
      </c>
      <c r="J18" s="67">
        <f t="shared" si="12"/>
        <v>9.000000000000008E-2</v>
      </c>
      <c r="K18" s="67">
        <f t="shared" si="12"/>
        <v>7.0000000000000284E-2</v>
      </c>
      <c r="L18" s="46"/>
      <c r="M18" s="47"/>
      <c r="N18" s="19"/>
      <c r="O18" s="19"/>
    </row>
    <row r="19" spans="1:15" ht="18" customHeight="1">
      <c r="A19" s="19"/>
      <c r="B19" s="54" t="s">
        <v>13</v>
      </c>
      <c r="C19" s="68">
        <f>C8-C17</f>
        <v>13692</v>
      </c>
      <c r="D19" s="68">
        <f t="shared" ref="D19:K19" si="13">D8-D17</f>
        <v>8891</v>
      </c>
      <c r="E19" s="68">
        <f t="shared" si="13"/>
        <v>7659</v>
      </c>
      <c r="F19" s="68">
        <f t="shared" si="13"/>
        <v>4767</v>
      </c>
      <c r="G19" s="64">
        <f t="shared" si="13"/>
        <v>17046.582250000007</v>
      </c>
      <c r="H19" s="64">
        <f t="shared" si="13"/>
        <v>19262.63794249999</v>
      </c>
      <c r="I19" s="64">
        <f t="shared" si="13"/>
        <v>21381.528116175003</v>
      </c>
      <c r="J19" s="64">
        <f t="shared" si="13"/>
        <v>23305.865646630758</v>
      </c>
      <c r="K19" s="64">
        <f t="shared" si="13"/>
        <v>24937.276241894899</v>
      </c>
      <c r="L19" s="69">
        <f>(F19/C19)^(1/3)-1</f>
        <v>-0.29650758302365998</v>
      </c>
      <c r="M19" s="40">
        <f>(K19/G19)^(1/4)-1</f>
        <v>9.977267371805687E-2</v>
      </c>
      <c r="N19" s="19"/>
      <c r="O19" s="19"/>
    </row>
    <row r="20" spans="1:15" ht="18" customHeight="1">
      <c r="A20" s="19"/>
      <c r="B20" s="57" t="s">
        <v>14</v>
      </c>
      <c r="C20" s="43">
        <f t="shared" ref="C20:F20" si="14">C19/C8</f>
        <v>0.16807836782794433</v>
      </c>
      <c r="D20" s="43">
        <f t="shared" si="14"/>
        <v>9.1874799789197395E-2</v>
      </c>
      <c r="E20" s="43">
        <f t="shared" si="14"/>
        <v>7.8401064592076977E-2</v>
      </c>
      <c r="F20" s="44">
        <f t="shared" si="14"/>
        <v>4.9846810201499482E-2</v>
      </c>
      <c r="G20" s="70">
        <v>0.16800000000000001</v>
      </c>
      <c r="H20" s="70">
        <v>0.16800000000000001</v>
      </c>
      <c r="I20" s="70">
        <v>0.16800000000000001</v>
      </c>
      <c r="J20" s="70">
        <v>0.16800000000000001</v>
      </c>
      <c r="K20" s="70">
        <v>0.16800000000000001</v>
      </c>
      <c r="L20" s="46"/>
      <c r="M20" s="47"/>
      <c r="N20" s="19"/>
      <c r="O20" s="19"/>
    </row>
    <row r="21" spans="1:15" ht="18" customHeight="1">
      <c r="A21" s="19"/>
      <c r="B21" s="71" t="s">
        <v>15</v>
      </c>
      <c r="C21" s="60">
        <f>8.3%*C19</f>
        <v>1136.4360000000001</v>
      </c>
      <c r="D21" s="60">
        <f>(8.3%+20.4%)/2*D19</f>
        <v>1275.8584999999998</v>
      </c>
      <c r="E21" s="60">
        <f>20.4%*E19</f>
        <v>1562.4359999999999</v>
      </c>
      <c r="F21" s="72">
        <f>22.3%*F19</f>
        <v>1063.0409999999999</v>
      </c>
      <c r="G21" s="73">
        <f t="shared" ref="G21:K21" si="15">G19*$G$40</f>
        <v>3801.3878417500014</v>
      </c>
      <c r="H21" s="73">
        <f t="shared" si="15"/>
        <v>4295.5682611774982</v>
      </c>
      <c r="I21" s="73">
        <f t="shared" si="15"/>
        <v>4768.0807699070256</v>
      </c>
      <c r="J21" s="73">
        <f t="shared" si="15"/>
        <v>5197.2080391986592</v>
      </c>
      <c r="K21" s="73">
        <f t="shared" si="15"/>
        <v>5561.0126019425625</v>
      </c>
      <c r="L21" s="74"/>
      <c r="M21" s="75"/>
      <c r="N21" s="19"/>
      <c r="O21" s="19"/>
    </row>
    <row r="22" spans="1:15" ht="17.25" customHeight="1">
      <c r="A22" s="19"/>
      <c r="B22" s="76" t="s">
        <v>16</v>
      </c>
      <c r="C22" s="77">
        <f t="shared" ref="C22:K22" si="16">C19-C21</f>
        <v>12555.564</v>
      </c>
      <c r="D22" s="77">
        <f t="shared" si="16"/>
        <v>7615.1414999999997</v>
      </c>
      <c r="E22" s="77">
        <f t="shared" si="16"/>
        <v>6096.5640000000003</v>
      </c>
      <c r="F22" s="77">
        <f t="shared" si="16"/>
        <v>3703.9589999999998</v>
      </c>
      <c r="G22" s="77">
        <f t="shared" si="16"/>
        <v>13245.194408250005</v>
      </c>
      <c r="H22" s="77">
        <f t="shared" si="16"/>
        <v>14967.069681322493</v>
      </c>
      <c r="I22" s="77">
        <f t="shared" si="16"/>
        <v>16613.447346267978</v>
      </c>
      <c r="J22" s="77">
        <f t="shared" si="16"/>
        <v>18108.657607432098</v>
      </c>
      <c r="K22" s="77">
        <f t="shared" si="16"/>
        <v>19376.263639952336</v>
      </c>
      <c r="L22" s="69">
        <f>(F22/C22)^(1/3)-1</f>
        <v>-0.33430292579114362</v>
      </c>
      <c r="M22" s="40">
        <f>(K22/G22)^(1/4)-1</f>
        <v>9.977267371805687E-2</v>
      </c>
      <c r="N22" s="78"/>
      <c r="O22" s="78"/>
    </row>
    <row r="23" spans="1:15" ht="18" customHeight="1">
      <c r="A23" s="19"/>
      <c r="B23" s="79" t="s">
        <v>17</v>
      </c>
      <c r="C23" s="60">
        <v>3543</v>
      </c>
      <c r="D23" s="60">
        <v>4667</v>
      </c>
      <c r="E23" s="60">
        <v>5368</v>
      </c>
      <c r="F23" s="60">
        <v>6001</v>
      </c>
      <c r="G23" s="80">
        <f t="shared" ref="G23:K23" si="17">G8*G24</f>
        <v>5757.8562071641754</v>
      </c>
      <c r="H23" s="80">
        <f t="shared" si="17"/>
        <v>6506.3775140955177</v>
      </c>
      <c r="I23" s="80">
        <f t="shared" si="17"/>
        <v>7222.0790406460246</v>
      </c>
      <c r="J23" s="80">
        <f t="shared" si="17"/>
        <v>7872.0661543041688</v>
      </c>
      <c r="K23" s="80">
        <f t="shared" si="17"/>
        <v>8423.1107851054603</v>
      </c>
      <c r="L23" s="74"/>
      <c r="M23" s="75"/>
      <c r="N23" s="19"/>
      <c r="O23" s="19"/>
    </row>
    <row r="24" spans="1:15" ht="18" customHeight="1">
      <c r="A24" s="81"/>
      <c r="B24" s="41" t="s">
        <v>8</v>
      </c>
      <c r="C24" s="44">
        <f t="shared" ref="C24:F24" si="18">C23/C8</f>
        <v>4.3492671429623625E-2</v>
      </c>
      <c r="D24" s="44">
        <f t="shared" si="18"/>
        <v>4.822626145722464E-2</v>
      </c>
      <c r="E24" s="44">
        <f t="shared" si="18"/>
        <v>5.4949329511720747E-2</v>
      </c>
      <c r="F24" s="44">
        <f t="shared" si="18"/>
        <v>6.2750305856764929E-2</v>
      </c>
      <c r="G24" s="82">
        <f>AVERAGE(C24:F24)</f>
        <v>5.2354642063833487E-2</v>
      </c>
      <c r="H24" s="82">
        <f t="shared" ref="H24:K24" si="19">G24</f>
        <v>5.2354642063833487E-2</v>
      </c>
      <c r="I24" s="82">
        <f t="shared" si="19"/>
        <v>5.2354642063833487E-2</v>
      </c>
      <c r="J24" s="82">
        <f t="shared" si="19"/>
        <v>5.2354642063833487E-2</v>
      </c>
      <c r="K24" s="82">
        <f t="shared" si="19"/>
        <v>5.2354642063833487E-2</v>
      </c>
      <c r="L24" s="83"/>
      <c r="M24" s="84"/>
      <c r="N24" s="81"/>
      <c r="O24" s="81"/>
    </row>
    <row r="25" spans="1:15" ht="17.25" customHeight="1">
      <c r="A25" s="19"/>
      <c r="B25" s="71" t="s">
        <v>18</v>
      </c>
      <c r="C25" s="60">
        <v>7163</v>
      </c>
      <c r="D25" s="60">
        <v>8899</v>
      </c>
      <c r="E25" s="60">
        <v>11342</v>
      </c>
      <c r="F25" s="72">
        <v>8914</v>
      </c>
      <c r="G25" s="73">
        <f t="shared" ref="G25:K25" si="20">G8*G26</f>
        <v>3299.3384999999998</v>
      </c>
      <c r="H25" s="73">
        <f t="shared" si="20"/>
        <v>3106.8770874999996</v>
      </c>
      <c r="I25" s="73">
        <f t="shared" si="20"/>
        <v>2758.9068536999998</v>
      </c>
      <c r="J25" s="73">
        <f t="shared" si="20"/>
        <v>3007.2084705330003</v>
      </c>
      <c r="K25" s="85">
        <f t="shared" si="20"/>
        <v>3217.7130634703103</v>
      </c>
      <c r="L25" s="86"/>
      <c r="M25" s="87"/>
      <c r="N25" s="19"/>
      <c r="O25" s="19"/>
    </row>
    <row r="26" spans="1:15" ht="18" customHeight="1">
      <c r="A26" s="19"/>
      <c r="B26" s="88" t="s">
        <v>8</v>
      </c>
      <c r="C26" s="89">
        <f t="shared" ref="C26:F26" si="21">C25/C8</f>
        <v>8.7930568854189678E-2</v>
      </c>
      <c r="D26" s="89">
        <f t="shared" si="21"/>
        <v>9.1957467475432195E-2</v>
      </c>
      <c r="E26" s="89">
        <f t="shared" si="21"/>
        <v>0.11610195516429522</v>
      </c>
      <c r="F26" s="89">
        <f t="shared" si="21"/>
        <v>9.3210502650758628E-2</v>
      </c>
      <c r="G26" s="90">
        <v>0.03</v>
      </c>
      <c r="H26" s="90">
        <v>2.5000000000000001E-2</v>
      </c>
      <c r="I26" s="90">
        <v>0.02</v>
      </c>
      <c r="J26" s="90">
        <v>0.02</v>
      </c>
      <c r="K26" s="90">
        <v>0.02</v>
      </c>
      <c r="L26" s="46"/>
      <c r="M26" s="47"/>
      <c r="N26" s="91"/>
      <c r="O26" s="91"/>
    </row>
    <row r="27" spans="1:15" ht="18" customHeight="1">
      <c r="A27" s="19"/>
      <c r="B27" s="92" t="s">
        <v>19</v>
      </c>
      <c r="C27" s="93">
        <v>2365</v>
      </c>
      <c r="D27" s="93">
        <v>809</v>
      </c>
      <c r="E27" s="93">
        <v>1420</v>
      </c>
      <c r="F27" s="196">
        <v>-608.1</v>
      </c>
      <c r="G27" s="94">
        <f t="shared" ref="G27:K27" si="22">G8*G28</f>
        <v>-3299.3384999999998</v>
      </c>
      <c r="H27" s="94">
        <f t="shared" si="22"/>
        <v>-3728.252504999999</v>
      </c>
      <c r="I27" s="94">
        <f t="shared" si="22"/>
        <v>-4138.3602805499995</v>
      </c>
      <c r="J27" s="94">
        <f t="shared" si="22"/>
        <v>-4510.8127057994998</v>
      </c>
      <c r="K27" s="95">
        <f t="shared" si="22"/>
        <v>-4826.5695952054657</v>
      </c>
      <c r="L27" s="86"/>
      <c r="M27" s="87"/>
      <c r="N27" s="19"/>
      <c r="O27" s="19"/>
    </row>
    <row r="28" spans="1:15" ht="18" customHeight="1">
      <c r="A28" s="19"/>
      <c r="B28" s="88" t="s">
        <v>8</v>
      </c>
      <c r="C28" s="89">
        <f t="shared" ref="C28:F28" si="23">C27/C8</f>
        <v>2.9031941273231689E-2</v>
      </c>
      <c r="D28" s="89">
        <f t="shared" si="23"/>
        <v>8.3597697704938367E-3</v>
      </c>
      <c r="E28" s="89">
        <f t="shared" si="23"/>
        <v>1.4535776435663835E-2</v>
      </c>
      <c r="F28" s="96">
        <f t="shared" si="23"/>
        <v>-6.3586837179634651E-3</v>
      </c>
      <c r="G28" s="90">
        <v>-0.03</v>
      </c>
      <c r="H28" s="90">
        <v>-0.03</v>
      </c>
      <c r="I28" s="90">
        <v>-0.03</v>
      </c>
      <c r="J28" s="90">
        <v>-0.03</v>
      </c>
      <c r="K28" s="90">
        <v>-0.03</v>
      </c>
      <c r="L28" s="86"/>
      <c r="M28" s="87"/>
      <c r="N28" s="19"/>
      <c r="O28" s="19"/>
    </row>
    <row r="29" spans="1:15" ht="18" customHeight="1">
      <c r="A29" s="19"/>
      <c r="B29" s="71" t="s">
        <v>20</v>
      </c>
      <c r="C29" s="97"/>
      <c r="D29" s="97">
        <f>-D27+C27</f>
        <v>1556</v>
      </c>
      <c r="E29" s="97">
        <f t="shared" ref="E29:K29" si="24">-E27+D27</f>
        <v>-611</v>
      </c>
      <c r="F29" s="97">
        <f t="shared" si="24"/>
        <v>2028.1</v>
      </c>
      <c r="G29" s="97">
        <f t="shared" si="24"/>
        <v>2691.2384999999999</v>
      </c>
      <c r="H29" s="97">
        <f t="shared" si="24"/>
        <v>428.91400499999918</v>
      </c>
      <c r="I29" s="97">
        <f t="shared" si="24"/>
        <v>410.1077755500005</v>
      </c>
      <c r="J29" s="97">
        <f t="shared" si="24"/>
        <v>372.45242524950027</v>
      </c>
      <c r="K29" s="97">
        <f t="shared" si="24"/>
        <v>315.75688940596592</v>
      </c>
      <c r="L29" s="98"/>
      <c r="M29" s="99"/>
      <c r="N29" s="100"/>
      <c r="O29" s="100"/>
    </row>
    <row r="30" spans="1:15" ht="18" customHeight="1">
      <c r="A30" s="19"/>
      <c r="B30" s="76" t="s">
        <v>21</v>
      </c>
      <c r="C30" s="77"/>
      <c r="D30" s="101">
        <f>D22+D23-D25+D29</f>
        <v>4939.1414999999997</v>
      </c>
      <c r="E30" s="101">
        <f t="shared" ref="E30:J30" si="25">E22+E23-E25+E29</f>
        <v>-488.43599999999969</v>
      </c>
      <c r="F30" s="101">
        <f t="shared" si="25"/>
        <v>2819.0589999999988</v>
      </c>
      <c r="G30" s="101">
        <f t="shared" si="25"/>
        <v>18394.950615414182</v>
      </c>
      <c r="H30" s="101">
        <f t="shared" si="25"/>
        <v>18795.484112918009</v>
      </c>
      <c r="I30" s="101">
        <f t="shared" si="25"/>
        <v>21486.727308764006</v>
      </c>
      <c r="J30" s="101">
        <f t="shared" si="25"/>
        <v>23345.967716452764</v>
      </c>
      <c r="K30" s="101">
        <f>K22+K23-K25+K29</f>
        <v>24897.418250993451</v>
      </c>
      <c r="L30" s="69">
        <f>(F30/D30)^(1/3)-1</f>
        <v>-0.170497755175536</v>
      </c>
      <c r="M30" s="40">
        <f>(K30/G30)^(1/4)-1</f>
        <v>7.8608708067299693E-2</v>
      </c>
      <c r="N30" s="100"/>
      <c r="O30" s="100"/>
    </row>
    <row r="31" spans="1:15" ht="18" customHeight="1">
      <c r="A31" s="19"/>
      <c r="B31" s="71" t="s">
        <v>22</v>
      </c>
      <c r="C31" s="103"/>
      <c r="D31" s="97"/>
      <c r="E31" s="97"/>
      <c r="F31" s="104"/>
      <c r="G31" s="105">
        <f t="shared" ref="G31:K31" si="26">$G$47</f>
        <v>0.10727919044077479</v>
      </c>
      <c r="H31" s="105">
        <f t="shared" si="26"/>
        <v>0.10727919044077479</v>
      </c>
      <c r="I31" s="105">
        <f t="shared" si="26"/>
        <v>0.10727919044077479</v>
      </c>
      <c r="J31" s="105">
        <f t="shared" si="26"/>
        <v>0.10727919044077479</v>
      </c>
      <c r="K31" s="106">
        <f t="shared" si="26"/>
        <v>0.10727919044077479</v>
      </c>
      <c r="L31" s="86"/>
      <c r="M31" s="87"/>
      <c r="N31" s="19"/>
      <c r="O31" s="19"/>
    </row>
    <row r="32" spans="1:15" ht="18" customHeight="1">
      <c r="A32" s="19"/>
      <c r="B32" s="71" t="s">
        <v>23</v>
      </c>
      <c r="C32" s="97"/>
      <c r="D32" s="97"/>
      <c r="E32" s="97"/>
      <c r="F32" s="104"/>
      <c r="G32" s="107">
        <v>0.5</v>
      </c>
      <c r="H32" s="107">
        <f t="shared" ref="H32:K32" si="27">G32+1</f>
        <v>1.5</v>
      </c>
      <c r="I32" s="107">
        <f t="shared" si="27"/>
        <v>2.5</v>
      </c>
      <c r="J32" s="107">
        <f t="shared" si="27"/>
        <v>3.5</v>
      </c>
      <c r="K32" s="108">
        <f t="shared" si="27"/>
        <v>4.5</v>
      </c>
      <c r="L32" s="86"/>
      <c r="M32" s="87"/>
      <c r="N32" s="19"/>
      <c r="O32" s="19"/>
    </row>
    <row r="33" spans="1:15" ht="18" customHeight="1">
      <c r="A33" s="19"/>
      <c r="B33" s="71" t="s">
        <v>24</v>
      </c>
      <c r="C33" s="97"/>
      <c r="D33" s="97"/>
      <c r="E33" s="97"/>
      <c r="F33" s="104"/>
      <c r="G33" s="109">
        <f t="shared" ref="G33:K33" si="28">1/((1+G31)^G32)</f>
        <v>0.95032341712873092</v>
      </c>
      <c r="H33" s="109">
        <f t="shared" si="28"/>
        <v>0.85825095001598972</v>
      </c>
      <c r="I33" s="109">
        <f t="shared" si="28"/>
        <v>0.77509896097148323</v>
      </c>
      <c r="J33" s="109">
        <f t="shared" si="28"/>
        <v>0.70000318588389576</v>
      </c>
      <c r="K33" s="110">
        <f t="shared" si="28"/>
        <v>0.63218309521851068</v>
      </c>
      <c r="L33" s="86"/>
      <c r="M33" s="87"/>
      <c r="N33" s="19"/>
      <c r="O33" s="19"/>
    </row>
    <row r="34" spans="1:15" ht="18" customHeight="1">
      <c r="A34" s="19"/>
      <c r="B34" s="111" t="s">
        <v>25</v>
      </c>
      <c r="C34" s="112"/>
      <c r="D34" s="112"/>
      <c r="E34" s="112"/>
      <c r="F34" s="113"/>
      <c r="G34" s="114">
        <f t="shared" ref="G34:K34" si="29">G33*G30</f>
        <v>17481.152326754658</v>
      </c>
      <c r="H34" s="114">
        <f t="shared" si="29"/>
        <v>16131.242095922324</v>
      </c>
      <c r="I34" s="114">
        <f t="shared" si="29"/>
        <v>16654.340011700577</v>
      </c>
      <c r="J34" s="114">
        <f t="shared" si="29"/>
        <v>16342.251779059514</v>
      </c>
      <c r="K34" s="115">
        <f t="shared" si="29"/>
        <v>15739.726932862879</v>
      </c>
      <c r="L34" s="116"/>
      <c r="M34" s="117"/>
      <c r="N34" s="100"/>
      <c r="O34" s="100"/>
    </row>
    <row r="35" spans="1:15" ht="18" customHeight="1">
      <c r="A35" s="19"/>
      <c r="B35" s="118"/>
      <c r="C35" s="119"/>
      <c r="D35" s="19"/>
      <c r="E35" s="19"/>
      <c r="F35" s="19"/>
      <c r="G35" s="19"/>
      <c r="H35" s="19"/>
      <c r="I35" s="19"/>
      <c r="J35" s="19"/>
      <c r="K35" s="120"/>
      <c r="L35" s="119"/>
      <c r="M35" s="119"/>
      <c r="N35" s="19"/>
      <c r="O35" s="19"/>
    </row>
    <row r="36" spans="1:15" ht="18" customHeight="1">
      <c r="A36" s="19"/>
      <c r="B36" s="121" t="s">
        <v>26</v>
      </c>
      <c r="C36" s="122"/>
      <c r="D36" s="19"/>
      <c r="E36" s="123" t="s">
        <v>27</v>
      </c>
      <c r="F36" s="124"/>
      <c r="G36" s="125"/>
      <c r="H36" s="19"/>
      <c r="I36" s="126" t="s">
        <v>28</v>
      </c>
      <c r="J36" s="127"/>
      <c r="K36" s="127"/>
      <c r="L36" s="128"/>
      <c r="M36" s="127"/>
      <c r="N36" s="127"/>
      <c r="O36" s="129"/>
    </row>
    <row r="37" spans="1:15" ht="18" customHeight="1">
      <c r="A37" s="19"/>
      <c r="B37" s="130" t="s">
        <v>29</v>
      </c>
      <c r="C37" s="131">
        <f>K30</f>
        <v>24897.418250993451</v>
      </c>
      <c r="D37" s="19"/>
      <c r="E37" s="132" t="s">
        <v>30</v>
      </c>
      <c r="F37" s="133"/>
      <c r="G37" s="197">
        <v>8213</v>
      </c>
      <c r="H37" s="19"/>
      <c r="I37" s="134"/>
      <c r="J37" s="135"/>
      <c r="K37" s="135"/>
      <c r="L37" s="135"/>
      <c r="M37" s="136" t="s">
        <v>31</v>
      </c>
      <c r="N37" s="135"/>
      <c r="O37" s="137"/>
    </row>
    <row r="38" spans="1:15" ht="18" customHeight="1">
      <c r="A38" s="19"/>
      <c r="B38" s="130" t="s">
        <v>31</v>
      </c>
      <c r="C38" s="200">
        <v>0.03</v>
      </c>
      <c r="D38" s="19"/>
      <c r="E38" s="132" t="s">
        <v>32</v>
      </c>
      <c r="F38" s="133"/>
      <c r="G38" s="138">
        <f>G37/(G37+G41)</f>
        <v>5.391361087278607E-3</v>
      </c>
      <c r="H38" s="19"/>
      <c r="I38" s="134"/>
      <c r="J38" s="135"/>
      <c r="K38" s="139">
        <f t="shared" ref="K38:L38" si="30">L38+0.2%</f>
        <v>3.4000000000000002E-2</v>
      </c>
      <c r="L38" s="139">
        <f t="shared" si="30"/>
        <v>3.2000000000000001E-2</v>
      </c>
      <c r="M38" s="139">
        <f>C38</f>
        <v>0.03</v>
      </c>
      <c r="N38" s="139">
        <f t="shared" ref="N38:O38" si="31">M38-0.2%</f>
        <v>2.7999999999999997E-2</v>
      </c>
      <c r="O38" s="140">
        <f t="shared" si="31"/>
        <v>2.5999999999999995E-2</v>
      </c>
    </row>
    <row r="39" spans="1:15" ht="18" customHeight="1">
      <c r="A39" s="19"/>
      <c r="B39" s="130" t="s">
        <v>33</v>
      </c>
      <c r="C39" s="141">
        <f>C37*(1+C38)/(G47-C38)</f>
        <v>331840.18430131668</v>
      </c>
      <c r="D39" s="19"/>
      <c r="E39" s="142" t="s">
        <v>34</v>
      </c>
      <c r="F39" s="102"/>
      <c r="G39" s="143">
        <f>G44+0.6%</f>
        <v>4.2429999999999995E-2</v>
      </c>
      <c r="H39" s="19"/>
      <c r="I39" s="134"/>
      <c r="J39" s="139">
        <f t="shared" ref="J39:J40" si="32">J40-0.2%</f>
        <v>0.10327919044077478</v>
      </c>
      <c r="K39" s="144" t="e">
        <f ca="1">(($C$39*(1+K$40)/($J39-(K$40)))*(1/((1+$J39)^5)) + $G$32/(1+$J39)^1 + $H$32/(1+$J39)^2 + $I$32/(1+$J39)^3 + $J$32/(1+$J39)^4 + $K$32/(1+$J39)^5 + $C$49 - $C$50) / $C$52</f>
        <v>#NAME?</v>
      </c>
      <c r="L39" s="145" t="e">
        <f t="shared" ref="L39:O39" ca="1" si="33">(($C$39*(1+L$40)/($J39-(L$40)))*(1/((1+$J39)^5)) + $G$32/(1+$J39)^1 + $H$32/(1+$J39)^2 + $I$32/(1+$J39)^3 + $J$32/(1+$J39)^4 + $K$32/(1+$J39)^5 + $C$49 - $C$50) / $C$52</f>
        <v>#NAME?</v>
      </c>
      <c r="M39" s="146" t="e">
        <f t="shared" ca="1" si="33"/>
        <v>#NAME?</v>
      </c>
      <c r="N39" s="147" t="e">
        <f t="shared" ca="1" si="33"/>
        <v>#NAME?</v>
      </c>
      <c r="O39" s="148" t="e">
        <f t="shared" ca="1" si="33"/>
        <v>#NAME?</v>
      </c>
    </row>
    <row r="40" spans="1:15" ht="18" customHeight="1">
      <c r="A40" s="19"/>
      <c r="B40" s="130" t="s">
        <v>35</v>
      </c>
      <c r="C40" s="149">
        <f>C39/K19</f>
        <v>13.30699395885993</v>
      </c>
      <c r="D40" s="19"/>
      <c r="E40" s="132" t="s">
        <v>36</v>
      </c>
      <c r="F40" s="133"/>
      <c r="G40" s="198">
        <v>0.223</v>
      </c>
      <c r="H40" s="19"/>
      <c r="I40" s="134"/>
      <c r="J40" s="139">
        <f t="shared" si="32"/>
        <v>0.10527919044077479</v>
      </c>
      <c r="K40" s="150" t="e">
        <f t="shared" ref="K40:O43" ca="1" si="34">(($C$39*(1+K$40)/($J40-(K$40)))*(1/((1+$J40)^5)) + $G$32/(1+$J40)^1 + $H$32/(1+$J40)^2 + $I$32/(1+$J40)^3 + $J$32/(1+$J40)^4 + $K$32/(1+$J40)^5 + $C$49 - $C$50) / $C$52</f>
        <v>#NAME?</v>
      </c>
      <c r="L40" s="151" t="e">
        <f t="shared" ca="1" si="34"/>
        <v>#NAME?</v>
      </c>
      <c r="M40" s="152" t="e">
        <f t="shared" ca="1" si="34"/>
        <v>#NAME?</v>
      </c>
      <c r="N40" s="153" t="e">
        <f t="shared" ca="1" si="34"/>
        <v>#NAME?</v>
      </c>
      <c r="O40" s="154" t="e">
        <f t="shared" ca="1" si="34"/>
        <v>#NAME?</v>
      </c>
    </row>
    <row r="41" spans="1:15" ht="18" customHeight="1">
      <c r="A41" s="19"/>
      <c r="B41" s="130" t="s">
        <v>23</v>
      </c>
      <c r="C41" s="201">
        <v>5</v>
      </c>
      <c r="D41" s="19"/>
      <c r="E41" s="132" t="s">
        <v>37</v>
      </c>
      <c r="F41" s="133"/>
      <c r="G41" s="155">
        <f>455*3330</f>
        <v>1515150</v>
      </c>
      <c r="H41" s="19"/>
      <c r="I41" s="156" t="s">
        <v>22</v>
      </c>
      <c r="J41" s="139">
        <f>G47</f>
        <v>0.10727919044077479</v>
      </c>
      <c r="K41" s="157" t="e">
        <f t="shared" ca="1" si="34"/>
        <v>#NAME?</v>
      </c>
      <c r="L41" s="158" t="e">
        <f t="shared" ca="1" si="34"/>
        <v>#NAME?</v>
      </c>
      <c r="M41" s="159" t="e">
        <f t="shared" ca="1" si="34"/>
        <v>#NAME?</v>
      </c>
      <c r="N41" s="160" t="e">
        <f t="shared" ca="1" si="34"/>
        <v>#NAME?</v>
      </c>
      <c r="O41" s="161" t="e">
        <f t="shared" ca="1" si="34"/>
        <v>#NAME?</v>
      </c>
    </row>
    <row r="42" spans="1:15" ht="18" customHeight="1">
      <c r="A42" s="19"/>
      <c r="B42" s="162" t="s">
        <v>24</v>
      </c>
      <c r="C42" s="163">
        <f>1/(1+G47)^C41</f>
        <v>0.60077839929907306</v>
      </c>
      <c r="D42" s="19"/>
      <c r="E42" s="132" t="s">
        <v>38</v>
      </c>
      <c r="F42" s="133"/>
      <c r="G42" s="138">
        <f>G41/(G41+G37)</f>
        <v>0.99460863891272144</v>
      </c>
      <c r="H42" s="19"/>
      <c r="I42" s="134"/>
      <c r="J42" s="139">
        <f t="shared" ref="J42:J43" si="35">J41+0.2%</f>
        <v>0.10927919044077479</v>
      </c>
      <c r="K42" s="164" t="e">
        <f t="shared" ca="1" si="34"/>
        <v>#NAME?</v>
      </c>
      <c r="L42" s="165" t="e">
        <f t="shared" ca="1" si="34"/>
        <v>#NAME?</v>
      </c>
      <c r="M42" s="166" t="e">
        <f t="shared" ca="1" si="34"/>
        <v>#NAME?</v>
      </c>
      <c r="N42" s="167" t="e">
        <f t="shared" ca="1" si="34"/>
        <v>#NAME?</v>
      </c>
      <c r="O42" s="168" t="e">
        <f t="shared" ca="1" si="34"/>
        <v>#NAME?</v>
      </c>
    </row>
    <row r="43" spans="1:15" ht="18" customHeight="1">
      <c r="A43" s="19"/>
      <c r="B43" s="169" t="s">
        <v>39</v>
      </c>
      <c r="C43" s="170">
        <f>C39*C42</f>
        <v>199362.41474765443</v>
      </c>
      <c r="D43" s="19"/>
      <c r="E43" s="142" t="s">
        <v>40</v>
      </c>
      <c r="F43" s="102"/>
      <c r="G43" s="143">
        <f>G44+G45*G46</f>
        <v>0.107682</v>
      </c>
      <c r="H43" s="19"/>
      <c r="I43" s="171"/>
      <c r="J43" s="172">
        <f t="shared" si="35"/>
        <v>0.11127919044077479</v>
      </c>
      <c r="K43" s="173" t="e">
        <f t="shared" ca="1" si="34"/>
        <v>#NAME?</v>
      </c>
      <c r="L43" s="174" t="e">
        <f t="shared" ca="1" si="34"/>
        <v>#NAME?</v>
      </c>
      <c r="M43" s="175" t="e">
        <f t="shared" ca="1" si="34"/>
        <v>#NAME?</v>
      </c>
      <c r="N43" s="176" t="e">
        <f t="shared" ca="1" si="34"/>
        <v>#NAME?</v>
      </c>
      <c r="O43" s="177" t="e">
        <f t="shared" ca="1" si="34"/>
        <v>#NAME?</v>
      </c>
    </row>
    <row r="44" spans="1:15" ht="18" customHeight="1">
      <c r="A44" s="19"/>
      <c r="D44" s="19"/>
      <c r="E44" s="132" t="s">
        <v>41</v>
      </c>
      <c r="F44" s="133"/>
      <c r="G44" s="198">
        <v>3.6429999999999997E-2</v>
      </c>
      <c r="H44" s="19"/>
      <c r="I44" s="19"/>
      <c r="J44" s="19"/>
      <c r="K44" s="19"/>
      <c r="L44" s="19"/>
      <c r="M44" s="19"/>
      <c r="N44" s="19"/>
      <c r="O44" s="19"/>
    </row>
    <row r="45" spans="1:15" ht="18" customHeight="1">
      <c r="A45" s="19"/>
      <c r="B45" s="121" t="s">
        <v>42</v>
      </c>
      <c r="C45" s="122"/>
      <c r="D45" s="19"/>
      <c r="E45" s="132" t="s">
        <v>43</v>
      </c>
      <c r="F45" s="133"/>
      <c r="G45" s="199">
        <v>1.88</v>
      </c>
      <c r="H45" s="19"/>
      <c r="I45" s="19"/>
      <c r="J45" s="19"/>
      <c r="K45" s="19"/>
      <c r="L45" s="19"/>
      <c r="M45" s="19"/>
      <c r="N45" s="19"/>
      <c r="O45" s="19"/>
    </row>
    <row r="46" spans="1:15" ht="18" customHeight="1">
      <c r="A46" s="19"/>
      <c r="B46" s="178" t="s">
        <v>44</v>
      </c>
      <c r="C46" s="179">
        <f>SUM(G34:K34,C43)</f>
        <v>281711.1278939544</v>
      </c>
      <c r="D46" s="180"/>
      <c r="E46" s="132" t="s">
        <v>45</v>
      </c>
      <c r="F46" s="133"/>
      <c r="G46" s="198">
        <v>3.7900000000000003E-2</v>
      </c>
      <c r="H46" s="19"/>
      <c r="I46" s="19"/>
      <c r="J46" s="19"/>
      <c r="K46" s="19"/>
      <c r="L46" s="19"/>
      <c r="M46" s="180"/>
      <c r="N46" s="19"/>
      <c r="O46" s="19"/>
    </row>
    <row r="47" spans="1:15" ht="18" customHeight="1">
      <c r="A47" s="19"/>
      <c r="B47" s="181" t="s">
        <v>46</v>
      </c>
      <c r="C47" s="202">
        <v>16169</v>
      </c>
      <c r="D47" s="119"/>
      <c r="E47" s="182" t="s">
        <v>22</v>
      </c>
      <c r="F47" s="183"/>
      <c r="G47" s="184">
        <f>(G38*G39*(1-G40))+(G42*G43)</f>
        <v>0.10727919044077479</v>
      </c>
      <c r="H47" s="19"/>
      <c r="I47" s="19"/>
      <c r="J47" s="19"/>
      <c r="K47" s="19"/>
      <c r="L47" s="19"/>
      <c r="M47" s="119"/>
      <c r="N47" s="185"/>
      <c r="O47" s="185"/>
    </row>
    <row r="48" spans="1:15" ht="18" customHeight="1">
      <c r="A48" s="19"/>
      <c r="B48" s="162" t="s">
        <v>47</v>
      </c>
      <c r="C48" s="204">
        <f>G37</f>
        <v>8213</v>
      </c>
      <c r="D48" s="119"/>
      <c r="E48" s="19"/>
      <c r="F48" s="19"/>
      <c r="G48" s="19"/>
      <c r="H48" s="19"/>
      <c r="I48" s="19"/>
      <c r="J48" s="19"/>
      <c r="K48" s="19"/>
      <c r="L48" s="19"/>
      <c r="M48" s="119"/>
      <c r="N48" s="19"/>
      <c r="O48" s="19"/>
    </row>
    <row r="49" spans="1:15" ht="18" customHeight="1">
      <c r="A49" s="19"/>
      <c r="B49" s="186" t="s">
        <v>48</v>
      </c>
      <c r="C49" s="187">
        <f>C46+C47-C48</f>
        <v>289667.1278939544</v>
      </c>
      <c r="D49" s="119"/>
      <c r="E49" s="19"/>
      <c r="F49" s="19"/>
      <c r="G49" s="19"/>
      <c r="H49" s="19"/>
      <c r="I49" s="19"/>
      <c r="J49" s="19"/>
      <c r="K49" s="19"/>
      <c r="L49" s="19"/>
      <c r="M49" s="119"/>
      <c r="N49" s="188"/>
      <c r="O49" s="188"/>
    </row>
    <row r="50" spans="1:15" ht="18" customHeight="1">
      <c r="A50" s="19"/>
      <c r="B50" s="189" t="s">
        <v>49</v>
      </c>
      <c r="C50" s="203">
        <v>3330</v>
      </c>
      <c r="D50" s="119"/>
      <c r="E50" s="19"/>
      <c r="F50" s="19"/>
      <c r="G50" s="19"/>
      <c r="H50" s="19"/>
      <c r="I50" s="19"/>
      <c r="J50" s="19"/>
      <c r="K50" s="19"/>
      <c r="L50" s="19"/>
      <c r="M50" s="119"/>
      <c r="N50" s="190"/>
      <c r="O50" s="190"/>
    </row>
    <row r="51" spans="1:15" ht="18" customHeight="1">
      <c r="A51" s="19"/>
      <c r="B51" s="186" t="s">
        <v>50</v>
      </c>
      <c r="C51" s="191">
        <f>C49/C50</f>
        <v>86.987125493679997</v>
      </c>
      <c r="D51" s="120"/>
      <c r="F51" s="19"/>
      <c r="G51" s="19"/>
      <c r="H51" s="19"/>
      <c r="I51" s="19"/>
      <c r="J51" s="19"/>
      <c r="K51" s="19"/>
      <c r="L51" s="19"/>
      <c r="M51" s="119"/>
      <c r="N51" s="190"/>
      <c r="O51" s="190"/>
    </row>
    <row r="52" spans="1:15" ht="18" customHeight="1">
      <c r="A52" s="19"/>
      <c r="B52" s="189" t="s">
        <v>51</v>
      </c>
      <c r="C52" s="192">
        <v>455</v>
      </c>
      <c r="D52" s="180"/>
      <c r="E52" s="193"/>
      <c r="F52" s="19"/>
      <c r="G52" s="19"/>
      <c r="H52" s="19"/>
      <c r="I52" s="19"/>
      <c r="J52" s="19"/>
      <c r="K52" s="19"/>
      <c r="L52" s="19"/>
      <c r="M52" s="119"/>
      <c r="N52" s="190"/>
      <c r="O52" s="190"/>
    </row>
    <row r="53" spans="1:15" ht="18" customHeight="1">
      <c r="A53" s="19"/>
      <c r="B53" s="194" t="s">
        <v>52</v>
      </c>
      <c r="C53" s="195">
        <f>(C51/C52)-1</f>
        <v>-0.80881950440949457</v>
      </c>
      <c r="D53" s="119"/>
      <c r="E53" s="19"/>
      <c r="F53" s="19"/>
      <c r="G53" s="19"/>
      <c r="H53" s="19"/>
      <c r="I53" s="19"/>
      <c r="J53" s="19"/>
      <c r="K53" s="19"/>
      <c r="L53" s="19"/>
      <c r="M53" s="119"/>
      <c r="N53" s="190"/>
      <c r="O53" s="190"/>
    </row>
    <row r="54" spans="1:15" ht="18" customHeight="1">
      <c r="A54" s="19"/>
      <c r="D54" s="119"/>
      <c r="E54" s="19"/>
      <c r="F54" s="19"/>
      <c r="G54" s="19"/>
      <c r="H54" s="19"/>
      <c r="I54" s="19"/>
      <c r="J54" s="19"/>
      <c r="K54" s="19"/>
      <c r="L54" s="19"/>
      <c r="M54" s="119"/>
      <c r="N54" s="190"/>
      <c r="O54" s="190"/>
    </row>
  </sheetData>
  <conditionalFormatting sqref="C53">
    <cfRule type="cellIs" dxfId="1" priority="2" operator="greaterThan">
      <formula>0</formula>
    </cfRule>
    <cfRule type="cellIs" dxfId="0" priority="3" operator="lessThan">
      <formula>0</formula>
    </cfRule>
  </conditionalFormatting>
  <conditionalFormatting sqref="K39:O43">
    <cfRule type="colorScale" priority="1">
      <colorScale>
        <cfvo type="min"/>
        <cfvo type="max"/>
        <color rgb="FFC9DAF8"/>
        <color rgb="FF3C78D8"/>
      </colorScale>
    </cfRule>
  </conditionalFormatting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10Y</vt:lpstr>
      <vt:lpstr>5Y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Tao</cp:lastModifiedBy>
  <dcterms:created xsi:type="dcterms:W3CDTF">2025-12-07T03:08:05Z</dcterms:created>
  <dcterms:modified xsi:type="dcterms:W3CDTF">2025-12-09T03:45:45Z</dcterms:modified>
</cp:coreProperties>
</file>